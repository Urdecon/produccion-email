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73A160D0-7FE9-45B9-8E0C-1DB1BDE7E47F}" xr6:coauthVersionLast="47" xr6:coauthVersionMax="47" xr10:uidLastSave="{00000000-0000-0000-0000-000000000000}"/>
  <bookViews>
    <workbookView xWindow="-108" yWindow="-108" windowWidth="23256" windowHeight="12576" activeTab="3"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<sst xmlns="http://schemas.openxmlformats.org/spreadsheetml/2006/main" count="229" uniqueCount="150">
  <si>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</si>
  <si>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</si>
  <si>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</si>
  <si>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</si>
  <si>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</si>
  <si>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</si>
  <si>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</si>
  <si>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</si>
  <si>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</si>
  <si>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</si>
  <si>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PY_002411</t>
  </si>
  <si>
    <t>Capítulo_Cod</t>
  </si>
  <si>
    <t>Capítulo</t>
  </si>
  <si>
    <t>Meses</t>
  </si>
  <si>
    <t>01.01.00</t>
  </si>
  <si>
    <t>01.01.00.INICIO URB</t>
  </si>
  <si>
    <t>enero</t>
  </si>
  <si>
    <t>01.01.01</t>
  </si>
  <si>
    <t>01.01.01MOV TIERRAS</t>
  </si>
  <si>
    <t>febrero</t>
  </si>
  <si>
    <t>01.01.02</t>
  </si>
  <si>
    <t>01.01.02.PAVIMENTCN</t>
  </si>
  <si>
    <t>marzo</t>
  </si>
  <si>
    <t>01.01.03</t>
  </si>
  <si>
    <t>01.01.03.RED ABASTEC</t>
  </si>
  <si>
    <t>abril</t>
  </si>
  <si>
    <t>01.01.04</t>
  </si>
  <si>
    <t>01.01.04.RED SANEAMN</t>
  </si>
  <si>
    <t>mayo</t>
  </si>
  <si>
    <t>01.01.05</t>
  </si>
  <si>
    <t>01.01.05.RED PLUVIAL</t>
  </si>
  <si>
    <t>junio</t>
  </si>
  <si>
    <t>01.01.06</t>
  </si>
  <si>
    <t>01.01.06.SEÑALIZAC</t>
  </si>
  <si>
    <t>julio</t>
  </si>
  <si>
    <t>01.01.07</t>
  </si>
  <si>
    <t>01.01.07.SEG Y SALD</t>
  </si>
  <si>
    <t>01.01.08</t>
  </si>
  <si>
    <t>01.01.08.GEST RESIDU</t>
  </si>
  <si>
    <t>septiembre</t>
  </si>
  <si>
    <t>01.01.09</t>
  </si>
  <si>
    <t>01.01.09.CONTR CALID</t>
  </si>
  <si>
    <t>octubre</t>
  </si>
  <si>
    <t>01.01.10</t>
  </si>
  <si>
    <t>01.01.10.DEM Y MOV T</t>
  </si>
  <si>
    <t>noviembre</t>
  </si>
  <si>
    <t>01.01.11</t>
  </si>
  <si>
    <t>01.01.11.DRENAJE</t>
  </si>
  <si>
    <t>diciembre</t>
  </si>
  <si>
    <t>01.01.12</t>
  </si>
  <si>
    <t>01.01.12.FIRMES Y PA</t>
  </si>
  <si>
    <t>01.01.13</t>
  </si>
  <si>
    <t>01.01.13.SEÑALIZACIO</t>
  </si>
  <si>
    <t>01.01.14</t>
  </si>
  <si>
    <t>01.01.14.GEST RESIDU</t>
  </si>
  <si>
    <t>01.01.15</t>
  </si>
  <si>
    <t>01.01.15.SEG Y SALUD</t>
  </si>
  <si>
    <t>01.01.16</t>
  </si>
  <si>
    <t>01.01.16.SERV AFECT</t>
  </si>
  <si>
    <t>01.01.17</t>
  </si>
  <si>
    <t>01.01.17.VERTEDERO</t>
  </si>
  <si>
    <t>01.01.99</t>
  </si>
  <si>
    <t>01.01.99.FINAL URBAN</t>
  </si>
  <si>
    <t>01.02.00</t>
  </si>
  <si>
    <t>01.02.00.INICIO NAVE</t>
  </si>
  <si>
    <t>01.02.01</t>
  </si>
  <si>
    <t>01.02.01.MOV TIERRAS</t>
  </si>
  <si>
    <t>01.02.02</t>
  </si>
  <si>
    <t>01.02.02.CIMENTACION</t>
  </si>
  <si>
    <t>01.02.03</t>
  </si>
  <si>
    <t>01.02.03.ESTRUCTURA</t>
  </si>
  <si>
    <t>01.02.04</t>
  </si>
  <si>
    <t>01.02.04.CERRAMIENTO</t>
  </si>
  <si>
    <t>01.02.05</t>
  </si>
  <si>
    <t>01.02.05.CUBIERTA</t>
  </si>
  <si>
    <t>01.02.06</t>
  </si>
  <si>
    <t>01.02.06.ALBAÑ Y TEC</t>
  </si>
  <si>
    <t>01.02.07</t>
  </si>
  <si>
    <t>01.02.07.PAVIMENTOS</t>
  </si>
  <si>
    <t>01.02.08</t>
  </si>
  <si>
    <t>01.02.08.CARPINTERIA</t>
  </si>
  <si>
    <t>01.02.09</t>
  </si>
  <si>
    <t>01.02.09.CERRAJERIA</t>
  </si>
  <si>
    <t>01.02.10</t>
  </si>
  <si>
    <t>01.02.10.VIDRIOS</t>
  </si>
  <si>
    <t>01.02.11</t>
  </si>
  <si>
    <t>01.02.11.EQUIPAMIENT</t>
  </si>
  <si>
    <t>01.02.12</t>
  </si>
  <si>
    <t>01.02.12.APAR SANITA</t>
  </si>
  <si>
    <t>01.02.13</t>
  </si>
  <si>
    <t>01.02.13.MONTACARGAS</t>
  </si>
  <si>
    <t>01.02.14</t>
  </si>
  <si>
    <t>01.02.14.MUELLES</t>
  </si>
  <si>
    <t>01.02.15</t>
  </si>
  <si>
    <t>01.02.15.CONT CALIDA</t>
  </si>
  <si>
    <t>01.02.16</t>
  </si>
  <si>
    <t>01.02.16.GEST RESIDU</t>
  </si>
  <si>
    <t>01.02.17</t>
  </si>
  <si>
    <t>01.02.17.SEG Y SALUD</t>
  </si>
  <si>
    <t>01.02.31</t>
  </si>
  <si>
    <t>01.02.31.PRT INCENDI</t>
  </si>
  <si>
    <t>01.02.32</t>
  </si>
  <si>
    <t>01.02.32.SIST PLUVIA</t>
  </si>
  <si>
    <t>01.02.33</t>
  </si>
  <si>
    <t>01.02.33.CLIMATIZACI</t>
  </si>
  <si>
    <t>01.02.34</t>
  </si>
  <si>
    <t>01.02.34.AFCH Y ACS</t>
  </si>
  <si>
    <t>01.02.35</t>
  </si>
  <si>
    <t>01.02.35.SANEAMIENTO</t>
  </si>
  <si>
    <t>01.02.36</t>
  </si>
  <si>
    <t>01.02.36.ELECTRICIDA</t>
  </si>
  <si>
    <t>01.02.37</t>
  </si>
  <si>
    <t>01.02.37.ACOMT OFIC</t>
  </si>
  <si>
    <t>01.02.99</t>
  </si>
  <si>
    <t>01.02.99.FINAL NAVE</t>
  </si>
  <si>
    <t>01.97</t>
  </si>
  <si>
    <t>01.97.OFICINA</t>
  </si>
  <si>
    <t>01.98</t>
  </si>
  <si>
    <t>01.98.NAVE</t>
  </si>
  <si>
    <t>01.99</t>
  </si>
  <si>
    <t>01.99.URBANIZACION</t>
  </si>
  <si>
    <t>02.01</t>
  </si>
  <si>
    <t>02.01.COSTES IND</t>
  </si>
  <si>
    <t>99.99</t>
  </si>
  <si>
    <t>99.99.RETENCIÓN</t>
  </si>
  <si>
    <t>Certificación pendiente  y PDC</t>
  </si>
  <si>
    <t>Resto de Produccion</t>
  </si>
  <si>
    <t>Observaciones</t>
  </si>
  <si>
    <t>Proveedor</t>
  </si>
  <si>
    <t>Coste_Pendiente</t>
  </si>
  <si>
    <t>MASASLIA</t>
  </si>
  <si>
    <t>DANIEL MONTOYA LOPEZ</t>
  </si>
  <si>
    <t>ALJOMAR</t>
  </si>
  <si>
    <t>SWISS FIRE</t>
  </si>
  <si>
    <t>CONCRETOMUR</t>
  </si>
  <si>
    <t>EKER</t>
  </si>
  <si>
    <t>DUROTEC</t>
  </si>
  <si>
    <t>PLACAS MURCIA</t>
  </si>
  <si>
    <t>MOVIVELUM</t>
  </si>
  <si>
    <t>INTECOSO</t>
  </si>
  <si>
    <t>HIERROS MIGUEL MOLINA</t>
  </si>
  <si>
    <t>ACOPIO CORREAS TECHOS</t>
  </si>
  <si>
    <t>MONTALBAN Y RODRIGUEZ</t>
  </si>
  <si>
    <t>ACOPIO BORDILLOS</t>
  </si>
  <si>
    <t>NORALMERIA</t>
  </si>
  <si>
    <t>PIZARRO</t>
  </si>
  <si>
    <t>CONSTRUCCIONES METALICAS MUÑOZ</t>
  </si>
  <si>
    <t>ARMADURA OFICINAS</t>
  </si>
  <si>
    <t>REGENERA</t>
  </si>
  <si>
    <t>CIVILIS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</si>
</sst>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2025-09</v>
      </c>
    </row>
    <row r="7" spans="1:6" ht="14.55" thickBot="1" x14ac:dyDescent="0.35">
      <c r="A7" s="8" t="s">
        <v>5</v>
      </c>
      <c r="B7" s="4" t="s">
        <v>39</v>
      </c>
      <c r="D7" s="10" t="s">
        <v>7</v>
      </c>
      <c r="E7" s="1" t="s">
        <v>8</v>
      </c>
    </row>
    <row r="8" spans="1:6" ht="14.5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topLeftCell="B28" workbookViewId="0">
      <selection activeCell="B49" sqref="B49"/>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A5" s="7" t="s">
        <v>23</v>
      </c>
      <c r="B5" t="s">
        <v>24</v>
      </c>
      <c r="D5" t="s">
        <v>25</v>
      </c>
    </row>
    <row r="6" spans="1:4" x14ac:dyDescent="0.3">
      <c r="A6" s="7" t="s">
        <v>26</v>
      </c>
      <c r="B6" t="s">
        <v>27</v>
      </c>
      <c r="D6" t="s">
        <v>28</v>
      </c>
    </row>
    <row r="7" spans="1:4" x14ac:dyDescent="0.3">
      <c r="A7" s="7" t="s">
        <v>29</v>
      </c>
      <c r="B7" t="s">
        <v>30</v>
      </c>
      <c r="D7" t="s">
        <v>31</v>
      </c>
    </row>
    <row r="8" spans="1:4" x14ac:dyDescent="0.3">
      <c r="A8" s="7" t="s">
        <v>32</v>
      </c>
      <c r="B8" t="s">
        <v>33</v>
      </c>
      <c r="D8" t="s">
        <v>34</v>
      </c>
    </row>
    <row r="9" spans="1:4" x14ac:dyDescent="0.3">
      <c r="A9" s="7" t="s">
        <v>35</v>
      </c>
      <c r="B9" t="s">
        <v>36</v>
      </c>
      <c r="D9" t="s">
        <v>6</v>
      </c>
    </row>
    <row r="10" spans="1:4" x14ac:dyDescent="0.3">
      <c r="A10" s="7" t="s">
        <v>37</v>
      </c>
      <c r="B10" t="s">
        <v>38</v>
      </c>
      <c r="D10" t="s">
        <v>39</v>
      </c>
    </row>
    <row r="11" spans="1:4" x14ac:dyDescent="0.3">
      <c r="A11" s="7" t="s">
        <v>40</v>
      </c>
      <c r="B11" t="s">
        <v>41</v>
      </c>
      <c r="D11" t="s">
        <v>42</v>
      </c>
    </row>
    <row r="12" spans="1:4" x14ac:dyDescent="0.3">
      <c r="A12" s="7" t="s">
        <v>43</v>
      </c>
      <c r="B12" t="s">
        <v>44</v>
      </c>
      <c r="D12" t="s">
        <v>45</v>
      </c>
    </row>
    <row r="13" spans="1:4" x14ac:dyDescent="0.3">
      <c r="A13" s="7" t="s">
        <v>46</v>
      </c>
      <c r="B13" t="s">
        <v>47</v>
      </c>
      <c r="D13" t="s">
        <v>48</v>
      </c>
    </row>
    <row r="14" spans="1:4" x14ac:dyDescent="0.3">
      <c r="A14" s="7" t="s">
        <v>49</v>
      </c>
      <c r="B14" t="s">
        <v>50</v>
      </c>
    </row>
    <row r="15" spans="1:4" x14ac:dyDescent="0.3">
      <c r="A15" s="7" t="s">
        <v>51</v>
      </c>
      <c r="B15" t="s">
        <v>52</v>
      </c>
    </row>
    <row r="16" spans="1:4" x14ac:dyDescent="0.3">
      <c r="A16" s="7" t="s">
        <v>53</v>
      </c>
      <c r="B16" t="s">
        <v>54</v>
      </c>
    </row>
    <row r="17" spans="1:2" x14ac:dyDescent="0.3">
      <c r="A17" s="7" t="s">
        <v>55</v>
      </c>
      <c r="B17" t="s">
        <v>56</v>
      </c>
    </row>
    <row r="18" spans="1:2" x14ac:dyDescent="0.3">
      <c r="A18" s="7" t="s">
        <v>57</v>
      </c>
      <c r="B18" t="s">
        <v>58</v>
      </c>
    </row>
    <row r="19" spans="1:2" x14ac:dyDescent="0.3">
      <c r="A19" s="7" t="s">
        <v>59</v>
      </c>
      <c r="B19" t="s">
        <v>60</v>
      </c>
    </row>
    <row r="20" spans="1:2" x14ac:dyDescent="0.3">
      <c r="A20" s="7" t="s">
        <v>61</v>
      </c>
      <c r="B20" t="s">
        <v>62</v>
      </c>
    </row>
    <row r="21" spans="1:2" x14ac:dyDescent="0.3">
      <c r="A21" s="7" t="s">
        <v>63</v>
      </c>
      <c r="B21" t="s">
        <v>64</v>
      </c>
    </row>
    <row r="22" spans="1:2" x14ac:dyDescent="0.3">
      <c r="A22" s="7" t="s">
        <v>65</v>
      </c>
      <c r="B22" t="s">
        <v>66</v>
      </c>
    </row>
    <row r="23" spans="1:2" x14ac:dyDescent="0.3">
      <c r="A23" s="7" t="s">
        <v>67</v>
      </c>
      <c r="B23" t="s">
        <v>68</v>
      </c>
    </row>
    <row r="24" spans="1:2" x14ac:dyDescent="0.3">
      <c r="A24" s="7" t="s">
        <v>69</v>
      </c>
      <c r="B24" t="s">
        <v>70</v>
      </c>
    </row>
    <row r="25" spans="1:2" x14ac:dyDescent="0.3">
      <c r="A25" s="7" t="s">
        <v>71</v>
      </c>
      <c r="B25" t="s">
        <v>72</v>
      </c>
    </row>
    <row r="26" spans="1:2" x14ac:dyDescent="0.3">
      <c r="A26" s="7" t="s">
        <v>73</v>
      </c>
      <c r="B26" t="s">
        <v>74</v>
      </c>
    </row>
    <row r="27" spans="1:2" x14ac:dyDescent="0.3">
      <c r="A27" s="7" t="s">
        <v>75</v>
      </c>
      <c r="B27" t="s">
        <v>76</v>
      </c>
    </row>
    <row r="28" spans="1:2" x14ac:dyDescent="0.3">
      <c r="A28" s="7" t="s">
        <v>77</v>
      </c>
      <c r="B28" t="s">
        <v>78</v>
      </c>
    </row>
    <row r="29" spans="1:2" x14ac:dyDescent="0.3">
      <c r="A29" s="7" t="s">
        <v>79</v>
      </c>
      <c r="B29" t="s">
        <v>80</v>
      </c>
    </row>
    <row r="30" spans="1:2" x14ac:dyDescent="0.3">
      <c r="A30" s="7" t="s">
        <v>81</v>
      </c>
      <c r="B30" t="s">
        <v>82</v>
      </c>
    </row>
    <row r="31" spans="1:2" x14ac:dyDescent="0.3">
      <c r="A31" s="7" t="s">
        <v>83</v>
      </c>
      <c r="B31" t="s">
        <v>84</v>
      </c>
    </row>
    <row r="32" spans="1:2" x14ac:dyDescent="0.3">
      <c r="A32" s="7" t="s">
        <v>85</v>
      </c>
      <c r="B32" t="s">
        <v>86</v>
      </c>
    </row>
    <row r="33" spans="1:2" x14ac:dyDescent="0.3">
      <c r="A33" s="7" t="s">
        <v>87</v>
      </c>
      <c r="B33" t="s">
        <v>88</v>
      </c>
    </row>
    <row r="34" spans="1:2" x14ac:dyDescent="0.3">
      <c r="A34" s="7" t="s">
        <v>89</v>
      </c>
      <c r="B34" t="s">
        <v>90</v>
      </c>
    </row>
    <row r="35" spans="1:2" x14ac:dyDescent="0.3">
      <c r="A35" s="7" t="s">
        <v>91</v>
      </c>
      <c r="B35" t="s">
        <v>92</v>
      </c>
    </row>
    <row r="36" spans="1:2" x14ac:dyDescent="0.3">
      <c r="A36" s="7" t="s">
        <v>93</v>
      </c>
      <c r="B36" t="s">
        <v>94</v>
      </c>
    </row>
    <row r="37" spans="1:2" x14ac:dyDescent="0.3">
      <c r="A37" s="7" t="s">
        <v>95</v>
      </c>
      <c r="B37" t="s">
        <v>96</v>
      </c>
    </row>
    <row r="38" spans="1:2" x14ac:dyDescent="0.3">
      <c r="A38" s="7" t="s">
        <v>97</v>
      </c>
      <c r="B38" t="s">
        <v>98</v>
      </c>
    </row>
    <row r="39" spans="1:2" x14ac:dyDescent="0.3">
      <c r="A39" s="7" t="s">
        <v>99</v>
      </c>
      <c r="B39" t="s">
        <v>100</v>
      </c>
    </row>
    <row r="40" spans="1:2" x14ac:dyDescent="0.3">
      <c r="A40" s="7" t="s">
        <v>101</v>
      </c>
      <c r="B40" t="s">
        <v>102</v>
      </c>
    </row>
    <row r="41" spans="1:2" x14ac:dyDescent="0.3">
      <c r="A41" s="7" t="s">
        <v>103</v>
      </c>
      <c r="B41" t="s">
        <v>104</v>
      </c>
    </row>
    <row r="42" spans="1:2" x14ac:dyDescent="0.3">
      <c r="A42" s="7" t="s">
        <v>105</v>
      </c>
      <c r="B42" t="s">
        <v>106</v>
      </c>
    </row>
    <row r="43" spans="1:2" x14ac:dyDescent="0.3">
      <c r="A43" s="7" t="s">
        <v>107</v>
      </c>
      <c r="B43" t="s">
        <v>108</v>
      </c>
    </row>
    <row r="44" spans="1:2" x14ac:dyDescent="0.3">
      <c r="A44" s="7" t="s">
        <v>109</v>
      </c>
      <c r="B44" t="s">
        <v>110</v>
      </c>
    </row>
    <row r="45" spans="1:2" x14ac:dyDescent="0.3">
      <c r="A45" s="7" t="s">
        <v>111</v>
      </c>
      <c r="B45" t="s">
        <v>112</v>
      </c>
    </row>
    <row r="46" spans="1:2" x14ac:dyDescent="0.3">
      <c r="A46" s="7" t="s">
        <v>113</v>
      </c>
      <c r="B46" t="s">
        <v>114</v>
      </c>
    </row>
    <row r="47" spans="1:2" x14ac:dyDescent="0.3">
      <c r="A47" s="7" t="s">
        <v>115</v>
      </c>
      <c r="B47" t="s">
        <v>116</v>
      </c>
    </row>
    <row r="48" spans="1:2" x14ac:dyDescent="0.3">
      <c r="A48" s="7" t="s">
        <v>117</v>
      </c>
      <c r="B48" t="s">
        <v>118</v>
      </c>
    </row>
    <row r="49" spans="1:2" x14ac:dyDescent="0.3">
      <c r="A49" s="7" t="s">
        <v>119</v>
      </c>
      <c r="B49" t="s">
        <v>120</v>
      </c>
    </row>
    <row r="50" spans="1:2" x14ac:dyDescent="0.3">
      <c r="A50" s="7" t="s">
        <v>121</v>
      </c>
      <c r="B50" t="s">
        <v>122</v>
      </c>
    </row>
    <row r="51" spans="1:2" x14ac:dyDescent="0.3">
      <c r="A51" s="7" t="s">
        <v>123</v>
      </c>
      <c r="B51" t="s">
        <v>124</v>
      </c>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F47" sqref="F47:F4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125</v>
      </c>
      <c r="E1" s="2" t="s">
        <v>126</v>
      </c>
      <c r="F1" s="2" t="s">
        <v>127</v>
      </c>
    </row>
    <row r="2" spans="1:6" x14ac:dyDescent="0.3">
      <c r="A2" s="1" t="str">
        <f>Inicio!$E$6</f>
        <v>2025-09</v>
      </c>
      <c r="B2" s="11" t="s">
        <v>15</v>
      </c>
      <c r="C2" s="1" t="str">
        <f>IFERROR(INDEX(Catalogos!$A$2:$A$500, MATCH(B2, Catalogos!$B$2:$B$500, 0)), "")</f>
        <v>01.01.00</v>
      </c>
      <c r="D2" s="6"/>
      <c r="E2" s="6"/>
      <c r="F2" s="5"/>
    </row>
    <row r="3" spans="1:6" x14ac:dyDescent="0.3">
      <c r="A3" s="1" t="str">
        <f>Inicio!$E$6</f>
        <v>2025-09</v>
      </c>
      <c r="B3" s="11" t="s">
        <v>18</v>
      </c>
      <c r="C3" s="1" t="str">
        <f>IFERROR(INDEX(Catalogos!$A$2:$A$500, MATCH(B3, Catalogos!$B$2:$B$500, 0)), "")</f>
        <v>01.01.01</v>
      </c>
      <c r="D3" s="6"/>
      <c r="E3" s="6"/>
      <c r="F3" s="5"/>
    </row>
    <row r="4" spans="1:6" x14ac:dyDescent="0.3">
      <c r="A4" s="1" t="str">
        <f>Inicio!$E$6</f>
        <v>2025-09</v>
      </c>
      <c r="B4" s="11" t="s">
        <v>21</v>
      </c>
      <c r="C4" s="1" t="str">
        <f>IFERROR(INDEX(Catalogos!$A$2:$A$500, MATCH(B4, Catalogos!$B$2:$B$500, 0)), "")</f>
        <v>01.01.02</v>
      </c>
      <c r="D4" s="6"/>
      <c r="E4" s="6"/>
      <c r="F4" s="5"/>
    </row>
    <row r="5" spans="1:6" x14ac:dyDescent="0.3">
      <c r="A5" s="1" t="str">
        <f>Inicio!$E$6</f>
        <v>2025-09</v>
      </c>
      <c r="B5" s="11" t="s">
        <v>24</v>
      </c>
      <c r="C5" s="1" t="str">
        <f>IFERROR(INDEX(Catalogos!$A$2:$A$500, MATCH(B5, Catalogos!$B$2:$B$500, 0)), "")</f>
        <v>01.01.03</v>
      </c>
      <c r="D5" s="6"/>
      <c r="E5" s="6"/>
      <c r="F5" s="5"/>
    </row>
    <row r="6" spans="1:6" x14ac:dyDescent="0.3">
      <c r="A6" s="1" t="str">
        <f>Inicio!$E$6</f>
        <v>2025-09</v>
      </c>
      <c r="B6" s="11" t="s">
        <v>27</v>
      </c>
      <c r="C6" s="1" t="str">
        <f>IFERROR(INDEX(Catalogos!$A$2:$A$500, MATCH(B6, Catalogos!$B$2:$B$500, 0)), "")</f>
        <v>01.01.04</v>
      </c>
      <c r="D6" s="6"/>
      <c r="E6" s="6"/>
      <c r="F6" s="5"/>
    </row>
    <row r="7" spans="1:6" x14ac:dyDescent="0.3">
      <c r="A7" s="1" t="str">
        <f>Inicio!$E$6</f>
        <v>2025-09</v>
      </c>
      <c r="B7" s="11" t="s">
        <v>30</v>
      </c>
      <c r="C7" s="1" t="str">
        <f>IFERROR(INDEX(Catalogos!$A$2:$A$500, MATCH(B7, Catalogos!$B$2:$B$500, 0)), "")</f>
        <v>01.01.05</v>
      </c>
      <c r="D7" s="6"/>
      <c r="E7" s="6"/>
      <c r="F7" s="5"/>
    </row>
    <row r="8" spans="1:6" x14ac:dyDescent="0.3">
      <c r="A8" s="1" t="str">
        <f>Inicio!$E$6</f>
        <v>2025-09</v>
      </c>
      <c r="B8" s="11" t="s">
        <v>33</v>
      </c>
      <c r="C8" s="1" t="str">
        <f>IFERROR(INDEX(Catalogos!$A$2:$A$500, MATCH(B8, Catalogos!$B$2:$B$500, 0)), "")</f>
        <v>01.01.06</v>
      </c>
      <c r="D8" s="6"/>
      <c r="E8" s="6"/>
      <c r="F8" s="5"/>
    </row>
    <row r="9" spans="1:6" x14ac:dyDescent="0.3">
      <c r="A9" s="1" t="str">
        <f>Inicio!$E$6</f>
        <v>2025-09</v>
      </c>
      <c r="B9" s="11" t="s">
        <v>36</v>
      </c>
      <c r="C9" s="1" t="str">
        <f>IFERROR(INDEX(Catalogos!$A$2:$A$500, MATCH(B9, Catalogos!$B$2:$B$500, 0)), "")</f>
        <v>01.01.07</v>
      </c>
      <c r="D9" s="6"/>
      <c r="E9" s="6"/>
      <c r="F9" s="5"/>
    </row>
    <row r="10" spans="1:6" x14ac:dyDescent="0.3">
      <c r="A10" s="1" t="str">
        <f>Inicio!$E$6</f>
        <v>2025-09</v>
      </c>
      <c r="B10" s="11" t="s">
        <v>38</v>
      </c>
      <c r="C10" s="1" t="str">
        <f>IFERROR(INDEX(Catalogos!$A$2:$A$500, MATCH(B10, Catalogos!$B$2:$B$500, 0)), "")</f>
        <v>01.01.08</v>
      </c>
      <c r="D10" s="6"/>
      <c r="E10" s="6"/>
      <c r="F10" s="5"/>
    </row>
    <row r="11" spans="1:6" x14ac:dyDescent="0.3">
      <c r="A11" s="1" t="str">
        <f>Inicio!$E$6</f>
        <v>2025-09</v>
      </c>
      <c r="B11" s="11" t="s">
        <v>41</v>
      </c>
      <c r="C11" s="1" t="str">
        <f>IFERROR(INDEX(Catalogos!$A$2:$A$500, MATCH(B11, Catalogos!$B$2:$B$500, 0)), "")</f>
        <v>01.01.09</v>
      </c>
      <c r="D11" s="6"/>
      <c r="E11" s="6"/>
      <c r="F11" s="5"/>
    </row>
    <row r="12" spans="1:6" x14ac:dyDescent="0.3">
      <c r="A12" s="1" t="str">
        <f>Inicio!$E$6</f>
        <v>2025-09</v>
      </c>
      <c r="B12" s="11" t="s">
        <v>44</v>
      </c>
      <c r="C12" s="1" t="str">
        <f>IFERROR(INDEX(Catalogos!$A$2:$A$500, MATCH(B12, Catalogos!$B$2:$B$500, 0)), "")</f>
        <v>01.01.10</v>
      </c>
      <c r="D12" s="6"/>
      <c r="E12" s="6"/>
      <c r="F12" s="5"/>
    </row>
    <row r="13" spans="1:6" x14ac:dyDescent="0.3">
      <c r="A13" s="1" t="str">
        <f>Inicio!$E$6</f>
        <v>2025-09</v>
      </c>
      <c r="B13" s="11" t="s">
        <v>47</v>
      </c>
      <c r="C13" s="1" t="str">
        <f>IFERROR(INDEX(Catalogos!$A$2:$A$500, MATCH(B13, Catalogos!$B$2:$B$500, 0)), "")</f>
        <v>01.01.11</v>
      </c>
      <c r="D13" s="6"/>
      <c r="E13" s="6"/>
      <c r="F13" s="5"/>
    </row>
    <row r="14" spans="1:6" x14ac:dyDescent="0.3">
      <c r="A14" s="1" t="str">
        <f>Inicio!$E$6</f>
        <v>2025-09</v>
      </c>
      <c r="B14" s="11" t="s">
        <v>50</v>
      </c>
      <c r="C14" s="1" t="str">
        <f>IFERROR(INDEX(Catalogos!$A$2:$A$500, MATCH(B14, Catalogos!$B$2:$B$500, 0)), "")</f>
        <v>01.01.12</v>
      </c>
      <c r="D14" s="6"/>
      <c r="E14" s="6"/>
      <c r="F14" s="5"/>
    </row>
    <row r="15" spans="1:6" x14ac:dyDescent="0.3">
      <c r="A15" s="1" t="str">
        <f>Inicio!$E$6</f>
        <v>2025-09</v>
      </c>
      <c r="B15" s="11" t="s">
        <v>52</v>
      </c>
      <c r="C15" s="1" t="str">
        <f>IFERROR(INDEX(Catalogos!$A$2:$A$500, MATCH(B15, Catalogos!$B$2:$B$500, 0)), "")</f>
        <v>01.01.13</v>
      </c>
      <c r="D15" s="6"/>
      <c r="E15" s="6"/>
      <c r="F15" s="5"/>
    </row>
    <row r="16" spans="1:6" x14ac:dyDescent="0.3">
      <c r="A16" s="1" t="str">
        <f>Inicio!$E$6</f>
        <v>2025-09</v>
      </c>
      <c r="B16" s="11" t="s">
        <v>54</v>
      </c>
      <c r="C16" s="1" t="str">
        <f>IFERROR(INDEX(Catalogos!$A$2:$A$500, MATCH(B16, Catalogos!$B$2:$B$500, 0)), "")</f>
        <v>01.01.14</v>
      </c>
      <c r="D16" s="6"/>
      <c r="E16" s="6"/>
      <c r="F16" s="5"/>
    </row>
    <row r="17" spans="1:6" x14ac:dyDescent="0.3">
      <c r="A17" s="1" t="str">
        <f>Inicio!$E$6</f>
        <v>2025-09</v>
      </c>
      <c r="B17" s="11" t="s">
        <v>56</v>
      </c>
      <c r="C17" s="1" t="str">
        <f>IFERROR(INDEX(Catalogos!$A$2:$A$500, MATCH(B17, Catalogos!$B$2:$B$500, 0)), "")</f>
        <v>01.01.15</v>
      </c>
      <c r="D17" s="6"/>
      <c r="E17" s="6"/>
      <c r="F17" s="5"/>
    </row>
    <row r="18" spans="1:6" x14ac:dyDescent="0.3">
      <c r="A18" s="1" t="str">
        <f>Inicio!$E$6</f>
        <v>2025-09</v>
      </c>
      <c r="B18" s="11" t="s">
        <v>58</v>
      </c>
      <c r="C18" s="1" t="str">
        <f>IFERROR(INDEX(Catalogos!$A$2:$A$500, MATCH(B18, Catalogos!$B$2:$B$500, 0)), "")</f>
        <v>01.01.16</v>
      </c>
      <c r="D18" s="6"/>
      <c r="E18" s="6"/>
      <c r="F18" s="5"/>
    </row>
    <row r="19" spans="1:6" x14ac:dyDescent="0.3">
      <c r="A19" s="1" t="str">
        <f>Inicio!$E$6</f>
        <v>2025-09</v>
      </c>
      <c r="B19" s="11" t="s">
        <v>60</v>
      </c>
      <c r="C19" s="1" t="str">
        <f>IFERROR(INDEX(Catalogos!$A$2:$A$500, MATCH(B19, Catalogos!$B$2:$B$500, 0)), "")</f>
        <v>01.01.17</v>
      </c>
      <c r="D19" s="6"/>
      <c r="E19" s="6"/>
      <c r="F19" s="5"/>
    </row>
    <row r="20" spans="1:6" x14ac:dyDescent="0.3">
      <c r="A20" s="1" t="str">
        <f>Inicio!$E$6</f>
        <v>2025-09</v>
      </c>
      <c r="B20" s="11" t="s">
        <v>62</v>
      </c>
      <c r="C20" s="1" t="str">
        <f>IFERROR(INDEX(Catalogos!$A$2:$A$500, MATCH(B20, Catalogos!$B$2:$B$500, 0)), "")</f>
        <v>01.01.99</v>
      </c>
      <c r="D20" s="6"/>
      <c r="E20" s="6"/>
      <c r="F20" s="5"/>
    </row>
    <row r="21" spans="1:6" x14ac:dyDescent="0.3">
      <c r="A21" s="1" t="str">
        <f>Inicio!$E$6</f>
        <v>2025-09</v>
      </c>
      <c r="B21" s="11" t="s">
        <v>64</v>
      </c>
      <c r="C21" s="1" t="str">
        <f>IFERROR(INDEX(Catalogos!$A$2:$A$500, MATCH(B21, Catalogos!$B$2:$B$500, 0)), "")</f>
        <v>01.02.00</v>
      </c>
      <c r="D21" s="6"/>
      <c r="E21" s="6"/>
      <c r="F21" s="5"/>
    </row>
    <row r="22" spans="1:6" x14ac:dyDescent="0.3">
      <c r="A22" s="1" t="str">
        <f>Inicio!$E$6</f>
        <v>2025-09</v>
      </c>
      <c r="B22" s="11" t="s">
        <v>66</v>
      </c>
      <c r="C22" s="1" t="str">
        <f>IFERROR(INDEX(Catalogos!$A$2:$A$500, MATCH(B22, Catalogos!$B$2:$B$500, 0)), "")</f>
        <v>01.02.01</v>
      </c>
      <c r="D22" s="6"/>
      <c r="E22" s="6"/>
      <c r="F22" s="5"/>
    </row>
    <row r="23" spans="1:6" x14ac:dyDescent="0.3">
      <c r="A23" s="1" t="str">
        <f>Inicio!$E$6</f>
        <v>2025-09</v>
      </c>
      <c r="B23" s="11" t="s">
        <v>68</v>
      </c>
      <c r="C23" s="1" t="str">
        <f>IFERROR(INDEX(Catalogos!$A$2:$A$500, MATCH(B23, Catalogos!$B$2:$B$500, 0)), "")</f>
        <v>01.02.02</v>
      </c>
      <c r="D23" s="6"/>
      <c r="E23" s="6"/>
      <c r="F23" s="5"/>
    </row>
    <row r="24" spans="1:6" x14ac:dyDescent="0.3">
      <c r="A24" s="1" t="str">
        <f>Inicio!$E$6</f>
        <v>2025-09</v>
      </c>
      <c r="B24" s="11" t="s">
        <v>70</v>
      </c>
      <c r="C24" s="1" t="str">
        <f>IFERROR(INDEX(Catalogos!$A$2:$A$500, MATCH(B24, Catalogos!$B$2:$B$500, 0)), "")</f>
        <v>01.02.03</v>
      </c>
      <c r="D24" s="6"/>
      <c r="E24" s="6"/>
      <c r="F24" s="5"/>
    </row>
    <row r="25" spans="1:6" x14ac:dyDescent="0.3">
      <c r="A25" s="1" t="str">
        <f>Inicio!$E$6</f>
        <v>2025-09</v>
      </c>
      <c r="B25" s="11" t="s">
        <v>72</v>
      </c>
      <c r="C25" s="1" t="str">
        <f>IFERROR(INDEX(Catalogos!$A$2:$A$500, MATCH(B25, Catalogos!$B$2:$B$500, 0)), "")</f>
        <v>01.02.04</v>
      </c>
      <c r="D25" s="6"/>
      <c r="E25" s="6"/>
      <c r="F25" s="5"/>
    </row>
    <row r="26" spans="1:6" x14ac:dyDescent="0.3">
      <c r="A26" s="1" t="str">
        <f>Inicio!$E$6</f>
        <v>2025-09</v>
      </c>
      <c r="B26" s="11" t="s">
        <v>74</v>
      </c>
      <c r="C26" s="1" t="str">
        <f>IFERROR(INDEX(Catalogos!$A$2:$A$500, MATCH(B26, Catalogos!$B$2:$B$500, 0)), "")</f>
        <v>01.02.05</v>
      </c>
      <c r="D26" s="6"/>
      <c r="E26" s="6"/>
      <c r="F26" s="5"/>
    </row>
    <row r="27" spans="1:6" x14ac:dyDescent="0.3">
      <c r="A27" s="1" t="str">
        <f>Inicio!$E$6</f>
        <v>2025-09</v>
      </c>
      <c r="B27" s="11" t="s">
        <v>76</v>
      </c>
      <c r="C27" s="1" t="str">
        <f>IFERROR(INDEX(Catalogos!$A$2:$A$500, MATCH(B27, Catalogos!$B$2:$B$500, 0)), "")</f>
        <v>01.02.06</v>
      </c>
      <c r="D27" s="6"/>
      <c r="E27" s="6"/>
      <c r="F27" s="5"/>
    </row>
    <row r="28" spans="1:6" x14ac:dyDescent="0.3">
      <c r="A28" s="1" t="str">
        <f>Inicio!$E$6</f>
        <v>2025-09</v>
      </c>
      <c r="B28" s="11" t="s">
        <v>78</v>
      </c>
      <c r="C28" s="1" t="str">
        <f>IFERROR(INDEX(Catalogos!$A$2:$A$500, MATCH(B28, Catalogos!$B$2:$B$500, 0)), "")</f>
        <v>01.02.07</v>
      </c>
      <c r="D28" s="6"/>
      <c r="E28" s="6"/>
      <c r="F28" s="5"/>
    </row>
    <row r="29" spans="1:6" x14ac:dyDescent="0.3">
      <c r="A29" s="1" t="str">
        <f>Inicio!$E$6</f>
        <v>2025-09</v>
      </c>
      <c r="B29" s="11" t="s">
        <v>80</v>
      </c>
      <c r="C29" s="1" t="str">
        <f>IFERROR(INDEX(Catalogos!$A$2:$A$500, MATCH(B29, Catalogos!$B$2:$B$500, 0)), "")</f>
        <v>01.02.08</v>
      </c>
      <c r="D29" s="6"/>
      <c r="E29" s="6"/>
      <c r="F29" s="5"/>
    </row>
    <row r="30" spans="1:6" x14ac:dyDescent="0.3">
      <c r="A30" s="1" t="str">
        <f>Inicio!$E$6</f>
        <v>2025-09</v>
      </c>
      <c r="B30" s="11" t="s">
        <v>82</v>
      </c>
      <c r="C30" s="1" t="str">
        <f>IFERROR(INDEX(Catalogos!$A$2:$A$500, MATCH(B30, Catalogos!$B$2:$B$500, 0)), "")</f>
        <v>01.02.09</v>
      </c>
      <c r="D30" s="6"/>
      <c r="E30" s="6"/>
      <c r="F30" s="5"/>
    </row>
    <row r="31" spans="1:6" x14ac:dyDescent="0.3">
      <c r="A31" s="1" t="str">
        <f>Inicio!$E$6</f>
        <v>2025-09</v>
      </c>
      <c r="B31" s="11" t="s">
        <v>84</v>
      </c>
      <c r="C31" s="1" t="str">
        <f>IFERROR(INDEX(Catalogos!$A$2:$A$500, MATCH(B31, Catalogos!$B$2:$B$500, 0)), "")</f>
        <v>01.02.10</v>
      </c>
      <c r="D31" s="6"/>
      <c r="E31" s="6"/>
      <c r="F31" s="5"/>
    </row>
    <row r="32" spans="1:6" x14ac:dyDescent="0.3">
      <c r="A32" s="1" t="str">
        <f>Inicio!$E$6</f>
        <v>2025-09</v>
      </c>
      <c r="B32" s="11" t="s">
        <v>86</v>
      </c>
      <c r="C32" s="1" t="str">
        <f>IFERROR(INDEX(Catalogos!$A$2:$A$500, MATCH(B32, Catalogos!$B$2:$B$500, 0)), "")</f>
        <v>01.02.11</v>
      </c>
      <c r="D32" s="6"/>
      <c r="E32" s="6"/>
      <c r="F32" s="5"/>
    </row>
    <row r="33" spans="1:6" x14ac:dyDescent="0.3">
      <c r="A33" s="1" t="str">
        <f>Inicio!$E$6</f>
        <v>2025-09</v>
      </c>
      <c r="B33" s="11" t="s">
        <v>88</v>
      </c>
      <c r="C33" s="1" t="str">
        <f>IFERROR(INDEX(Catalogos!$A$2:$A$500, MATCH(B33, Catalogos!$B$2:$B$500, 0)), "")</f>
        <v>01.02.12</v>
      </c>
      <c r="D33" s="6"/>
      <c r="E33" s="6"/>
      <c r="F33" s="5"/>
    </row>
    <row r="34" spans="1:6" x14ac:dyDescent="0.3">
      <c r="A34" s="1" t="str">
        <f>Inicio!$E$6</f>
        <v>2025-09</v>
      </c>
      <c r="B34" s="11" t="s">
        <v>90</v>
      </c>
      <c r="C34" s="1" t="str">
        <f>IFERROR(INDEX(Catalogos!$A$2:$A$500, MATCH(B34, Catalogos!$B$2:$B$500, 0)), "")</f>
        <v>01.02.13</v>
      </c>
      <c r="D34" s="6"/>
      <c r="E34" s="6"/>
      <c r="F34" s="5"/>
    </row>
    <row r="35" spans="1:6" x14ac:dyDescent="0.3">
      <c r="A35" s="1" t="str">
        <f>Inicio!$E$6</f>
        <v>2025-09</v>
      </c>
      <c r="B35" s="11" t="s">
        <v>92</v>
      </c>
      <c r="C35" s="1" t="str">
        <f>IFERROR(INDEX(Catalogos!$A$2:$A$500, MATCH(B35, Catalogos!$B$2:$B$500, 0)), "")</f>
        <v>01.02.14</v>
      </c>
      <c r="D35" s="6"/>
      <c r="E35" s="6"/>
      <c r="F35" s="5"/>
    </row>
    <row r="36" spans="1:6" x14ac:dyDescent="0.3">
      <c r="A36" s="1" t="str">
        <f>Inicio!$E$6</f>
        <v>2025-09</v>
      </c>
      <c r="B36" s="11" t="s">
        <v>94</v>
      </c>
      <c r="C36" s="1" t="str">
        <f>IFERROR(INDEX(Catalogos!$A$2:$A$500, MATCH(B36, Catalogos!$B$2:$B$500, 0)), "")</f>
        <v>01.02.15</v>
      </c>
      <c r="D36" s="6"/>
      <c r="E36" s="6"/>
      <c r="F36" s="5"/>
    </row>
    <row r="37" spans="1:6" x14ac:dyDescent="0.3">
      <c r="A37" s="1" t="str">
        <f>Inicio!$E$6</f>
        <v>2025-09</v>
      </c>
      <c r="B37" s="11" t="s">
        <v>96</v>
      </c>
      <c r="C37" s="1" t="str">
        <f>IFERROR(INDEX(Catalogos!$A$2:$A$500, MATCH(B37, Catalogos!$B$2:$B$500, 0)), "")</f>
        <v>01.02.16</v>
      </c>
      <c r="D37" s="6"/>
      <c r="E37" s="6"/>
      <c r="F37" s="5"/>
    </row>
    <row r="38" spans="1:6" x14ac:dyDescent="0.3">
      <c r="A38" s="1" t="str">
        <f>Inicio!$E$6</f>
        <v>2025-09</v>
      </c>
      <c r="B38" s="11" t="s">
        <v>98</v>
      </c>
      <c r="C38" s="1" t="str">
        <f>IFERROR(INDEX(Catalogos!$A$2:$A$500, MATCH(B38, Catalogos!$B$2:$B$500, 0)), "")</f>
        <v>01.02.17</v>
      </c>
      <c r="D38" s="6"/>
      <c r="E38" s="6"/>
      <c r="F38" s="5"/>
    </row>
    <row r="39" spans="1:6" x14ac:dyDescent="0.3">
      <c r="A39" s="1" t="str">
        <f>Inicio!$E$6</f>
        <v>2025-09</v>
      </c>
      <c r="B39" s="11" t="s">
        <v>100</v>
      </c>
      <c r="C39" s="1" t="str">
        <f>IFERROR(INDEX(Catalogos!$A$2:$A$500, MATCH(B39, Catalogos!$B$2:$B$500, 0)), "")</f>
        <v>01.02.31</v>
      </c>
      <c r="D39" s="6"/>
      <c r="E39" s="6"/>
      <c r="F39" s="5"/>
    </row>
    <row r="40" spans="1:6" x14ac:dyDescent="0.3">
      <c r="A40" s="1" t="str">
        <f>Inicio!$E$6</f>
        <v>2025-09</v>
      </c>
      <c r="B40" s="11" t="s">
        <v>102</v>
      </c>
      <c r="C40" s="1" t="str">
        <f>IFERROR(INDEX(Catalogos!$A$2:$A$500, MATCH(B40, Catalogos!$B$2:$B$500, 0)), "")</f>
        <v>01.02.32</v>
      </c>
      <c r="D40" s="6"/>
      <c r="E40" s="6"/>
      <c r="F40" s="5"/>
    </row>
    <row r="41" spans="1:6" x14ac:dyDescent="0.3">
      <c r="A41" s="1" t="str">
        <f>Inicio!$E$6</f>
        <v>2025-09</v>
      </c>
      <c r="B41" s="11" t="s">
        <v>104</v>
      </c>
      <c r="C41" s="1" t="str">
        <f>IFERROR(INDEX(Catalogos!$A$2:$A$500, MATCH(B41, Catalogos!$B$2:$B$500, 0)), "")</f>
        <v>01.02.33</v>
      </c>
      <c r="D41" s="6"/>
      <c r="E41" s="6"/>
      <c r="F41" s="5"/>
    </row>
    <row r="42" spans="1:6" x14ac:dyDescent="0.3">
      <c r="A42" s="1" t="str">
        <f>Inicio!$E$6</f>
        <v>2025-09</v>
      </c>
      <c r="B42" s="11" t="s">
        <v>106</v>
      </c>
      <c r="C42" s="1" t="str">
        <f>IFERROR(INDEX(Catalogos!$A$2:$A$500, MATCH(B42, Catalogos!$B$2:$B$500, 0)), "")</f>
        <v>01.02.34</v>
      </c>
      <c r="D42" s="6"/>
      <c r="E42" s="6"/>
      <c r="F42" s="5"/>
    </row>
    <row r="43" spans="1:6" x14ac:dyDescent="0.3">
      <c r="A43" s="1" t="str">
        <f>Inicio!$E$6</f>
        <v>2025-09</v>
      </c>
      <c r="B43" s="11" t="s">
        <v>108</v>
      </c>
      <c r="C43" s="1" t="str">
        <f>IFERROR(INDEX(Catalogos!$A$2:$A$500, MATCH(B43, Catalogos!$B$2:$B$500, 0)), "")</f>
        <v>01.02.35</v>
      </c>
      <c r="D43" s="6"/>
      <c r="E43" s="6"/>
      <c r="F43" s="5"/>
    </row>
    <row r="44" spans="1:6" x14ac:dyDescent="0.3">
      <c r="A44" s="1" t="str">
        <f>Inicio!$E$6</f>
        <v>2025-09</v>
      </c>
      <c r="B44" s="11" t="s">
        <v>110</v>
      </c>
      <c r="C44" s="1" t="str">
        <f>IFERROR(INDEX(Catalogos!$A$2:$A$500, MATCH(B44, Catalogos!$B$2:$B$500, 0)), "")</f>
        <v>01.02.36</v>
      </c>
      <c r="D44" s="6"/>
      <c r="E44" s="6"/>
      <c r="F44" s="5"/>
    </row>
    <row r="45" spans="1:6" x14ac:dyDescent="0.3">
      <c r="A45" s="1" t="str">
        <f>Inicio!$E$6</f>
        <v>2025-09</v>
      </c>
      <c r="B45" s="11" t="s">
        <v>112</v>
      </c>
      <c r="C45" s="1" t="str">
        <f>IFERROR(INDEX(Catalogos!$A$2:$A$500, MATCH(B45, Catalogos!$B$2:$B$500, 0)), "")</f>
        <v>01.02.37</v>
      </c>
      <c r="D45" s="6"/>
      <c r="E45" s="6"/>
      <c r="F45" s="5"/>
    </row>
    <row r="46" spans="1:6" x14ac:dyDescent="0.3">
      <c r="A46" s="1" t="str">
        <f>Inicio!$E$6</f>
        <v>2025-09</v>
      </c>
      <c r="B46" s="11" t="s">
        <v>114</v>
      </c>
      <c r="C46" s="1" t="str">
        <f>IFERROR(INDEX(Catalogos!$A$2:$A$500, MATCH(B46, Catalogos!$B$2:$B$500, 0)), "")</f>
        <v>01.02.99</v>
      </c>
      <c r="D46" s="6"/>
      <c r="E46" s="6"/>
      <c r="F46" s="5"/>
    </row>
    <row r="47" spans="1:6" x14ac:dyDescent="0.3">
      <c r="A47" s="1" t="str">
        <f>Inicio!$E$6</f>
        <v>2025-09</v>
      </c>
      <c r="B47" s="11" t="s">
        <v>116</v>
      </c>
      <c r="C47" s="1" t="str">
        <f>IFERROR(INDEX(Catalogos!$A$2:$A$500, MATCH(B47, Catalogos!$B$2:$B$500, 0)), "")</f>
        <v>01.97</v>
      </c>
      <c r="D47" s="6"/>
      <c r="E47" s="6"/>
      <c r="F47" s="5"/>
    </row>
    <row r="48" spans="1:6" x14ac:dyDescent="0.3">
      <c r="A48" s="1" t="str">
        <f>Inicio!$E$6</f>
        <v>2025-09</v>
      </c>
      <c r="B48" s="11" t="s">
        <v>118</v>
      </c>
      <c r="C48" s="1" t="str">
        <f>IFERROR(INDEX(Catalogos!$A$2:$A$500, MATCH(B48, Catalogos!$B$2:$B$500, 0)), "")</f>
        <v>01.98</v>
      </c>
      <c r="D48" s="6"/>
      <c r="E48" s="6"/>
      <c r="F48" s="5"/>
    </row>
    <row r="49" spans="1:6" x14ac:dyDescent="0.3">
      <c r="A49" s="1" t="str">
        <f>Inicio!$E$6</f>
        <v>2025-09</v>
      </c>
      <c r="B49" s="11" t="s">
        <v>120</v>
      </c>
      <c r="C49" s="1" t="str">
        <f>IFERROR(INDEX(Catalogos!$A$2:$A$500, MATCH(B49, Catalogos!$B$2:$B$500, 0)), "")</f>
        <v>01.99</v>
      </c>
      <c r="D49" s="6"/>
      <c r="E49" s="6"/>
      <c r="F49" s="5"/>
    </row>
    <row r="50" spans="1:6" x14ac:dyDescent="0.3">
      <c r="A50" s="1" t="str">
        <f>Inicio!$E$6</f>
        <v>2025-09</v>
      </c>
      <c r="B50" s="11" t="s">
        <v>122</v>
      </c>
      <c r="C50" s="1" t="str">
        <f>IFERROR(INDEX(Catalogos!$A$2:$A$500, MATCH(B50, Catalogos!$B$2:$B$500, 0)), "")</f>
        <v>02.01</v>
      </c>
      <c r="D50" s="6"/>
      <c r="E50" s="6"/>
      <c r="F50" s="5"/>
    </row>
    <row r="51" spans="1:6" x14ac:dyDescent="0.3">
      <c r="A51" s="1" t="str">
        <f>Inicio!$E$6</f>
        <v>2025-09</v>
      </c>
      <c r="B51" s="11" t="s">
        <v>124</v>
      </c>
      <c r="C51" s="1" t="str">
        <f>IFERROR(INDEX(Catalogos!$A$2:$A$500, MATCH(B51, Catalogos!$B$2:$B$500, 0)), "")</f>
        <v>99.99</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tabSelected="1" workbookViewId="0">
      <pane ySplit="1" topLeftCell="A3" activePane="bottomLeft" state="frozen"/>
      <selection pane="bottomLeft" activeCell="J8" sqref="J8"/>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128</v>
      </c>
      <c r="E1" s="2" t="s">
        <v>129</v>
      </c>
      <c r="F1" s="2" t="s">
        <v>127</v>
      </c>
    </row>
    <row r="2" spans="1:6" x14ac:dyDescent="0.3">
      <c r="A2" s="1" t="str">
        <f>Inicio!$E$6</f>
        <v>2025-09</v>
      </c>
      <c r="B2" s="5" t="s">
        <v>41</v>
      </c>
      <c r="C2" s="1" t="str">
        <f>IFERROR(INDEX(Catalogos!$A$2:$A$500, MATCH(B2, Catalogos!$B$2:$B$500, 0)), "")</f>
        <v>01.01.09</v>
      </c>
      <c r="D2" s="12" t="s">
        <v>130</v>
      </c>
      <c r="E2" s="13">
        <v>10000</v>
      </c>
      <c r="F2" s="12"/>
    </row>
    <row r="3" spans="1:6" x14ac:dyDescent="0.3">
      <c r="A3" s="1" t="str">
        <f>Inicio!$E$6</f>
        <v>2025-09</v>
      </c>
      <c r="B3" s="5" t="s">
        <v>122</v>
      </c>
      <c r="C3" s="1" t="str">
        <f>IFERROR(INDEX(Catalogos!$A$2:$A$500, MATCH(B3, Catalogos!$B$2:$B$500, 0)), "")</f>
        <v>02.01</v>
      </c>
      <c r="D3" s="12" t="s">
        <v>131</v>
      </c>
      <c r="E3" s="13">
        <v>14526</v>
      </c>
      <c r="F3" s="12"/>
    </row>
    <row r="4" spans="1:6" x14ac:dyDescent="0.3">
      <c r="A4" s="1" t="str">
        <f>Inicio!$E$6</f>
        <v>2025-09</v>
      </c>
      <c r="B4" s="5" t="s">
        <v>68</v>
      </c>
      <c r="C4" s="1" t="str">
        <f>IFERROR(INDEX(Catalogos!$A$2:$A$500, MATCH(B4, Catalogos!$B$2:$B$500, 0)), "")</f>
        <v>01.02.02</v>
      </c>
      <c r="D4" s="12" t="s">
        <v>132</v>
      </c>
      <c r="E4" s="13">
        <v>3500</v>
      </c>
      <c r="F4" s="12"/>
    </row>
    <row r="5" spans="1:6" x14ac:dyDescent="0.3">
      <c r="A5" s="1" t="str">
        <f>Inicio!$E$6</f>
        <v>2025-09</v>
      </c>
      <c r="B5" s="5" t="s">
        <v>100</v>
      </c>
      <c r="C5" s="1" t="str">
        <f>IFERROR(INDEX(Catalogos!$A$2:$A$500, MATCH(B5, Catalogos!$B$2:$B$500, 0)), "")</f>
        <v>01.02.31</v>
      </c>
      <c r="D5" s="12" t="s">
        <v>133</v>
      </c>
      <c r="E5" s="13">
        <v>30250</v>
      </c>
      <c r="F5" s="12"/>
    </row>
    <row r="6" spans="1:6" x14ac:dyDescent="0.3">
      <c r="A6" s="1" t="str">
        <f>Inicio!$E$6</f>
        <v>2025-09</v>
      </c>
      <c r="B6" s="5" t="s">
        <v>78</v>
      </c>
      <c r="C6" s="1" t="str">
        <f>IFERROR(INDEX(Catalogos!$A$2:$A$500, MATCH(B6, Catalogos!$B$2:$B$500, 0)), "")</f>
        <v>01.02.07</v>
      </c>
      <c r="D6" s="12" t="s">
        <v>134</v>
      </c>
      <c r="E6" s="13">
        <v>5500</v>
      </c>
      <c r="F6" s="12"/>
    </row>
    <row r="7" spans="1:6" x14ac:dyDescent="0.3">
      <c r="A7" s="1" t="str">
        <f>Inicio!$E$6</f>
        <v>2025-09</v>
      </c>
      <c r="B7" s="5" t="s">
        <v>106</v>
      </c>
      <c r="C7" s="1" t="str">
        <f>IFERROR(INDEX(Catalogos!$A$2:$A$500, MATCH(B7, Catalogos!$B$2:$B$500, 0)), "")</f>
        <v>01.02.34</v>
      </c>
      <c r="D7" s="12" t="s">
        <v>135</v>
      </c>
      <c r="E7" s="13">
        <v>0</v>
      </c>
      <c r="F7" s="12"/>
    </row>
    <row r="8" spans="1:6" x14ac:dyDescent="0.3">
      <c r="A8" s="1" t="str">
        <f>Inicio!$E$6</f>
        <v>2025-09</v>
      </c>
      <c r="B8" s="5" t="s">
        <v>78</v>
      </c>
      <c r="C8" s="1" t="str">
        <f>IFERROR(INDEX(Catalogos!$A$2:$A$500, MATCH(B8, Catalogos!$B$2:$B$500, 0)), "")</f>
        <v>01.02.07</v>
      </c>
      <c r="D8" s="12" t="s">
        <v>136</v>
      </c>
      <c r="E8" s="13">
        <v>0</v>
      </c>
      <c r="F8" s="12"/>
    </row>
    <row r="9" spans="1:6" x14ac:dyDescent="0.3">
      <c r="A9" s="1" t="str">
        <f>Inicio!$E$6</f>
        <v>2025-09</v>
      </c>
      <c r="B9" s="5" t="s">
        <v>72</v>
      </c>
      <c r="C9" s="1" t="str">
        <f>IFERROR(INDEX(Catalogos!$A$2:$A$500, MATCH(B9, Catalogos!$B$2:$B$500, 0)), "")</f>
        <v>01.02.04</v>
      </c>
      <c r="D9" s="12" t="s">
        <v>137</v>
      </c>
      <c r="E9" s="13">
        <v>55326.21</v>
      </c>
      <c r="F9" s="12"/>
    </row>
    <row r="10" spans="1:6" x14ac:dyDescent="0.3">
      <c r="A10" s="1" t="str">
        <f>Inicio!$E$6</f>
        <v>2025-09</v>
      </c>
      <c r="B10" s="5" t="s">
        <v>44</v>
      </c>
      <c r="C10" s="1" t="str">
        <f>IFERROR(INDEX(Catalogos!$A$2:$A$500, MATCH(B10, Catalogos!$B$2:$B$500, 0)), "")</f>
        <v>01.01.10</v>
      </c>
      <c r="D10" s="12" t="s">
        <v>138</v>
      </c>
      <c r="E10" s="13">
        <v>32169</v>
      </c>
      <c r="F10" s="12"/>
    </row>
    <row r="11" spans="1:6" x14ac:dyDescent="0.3">
      <c r="A11" s="1" t="str">
        <f>Inicio!$E$6</f>
        <v>2025-09</v>
      </c>
      <c r="B11" s="5" t="s">
        <v>76</v>
      </c>
      <c r="C11" s="1" t="str">
        <f>IFERROR(INDEX(Catalogos!$A$2:$A$500, MATCH(B11, Catalogos!$B$2:$B$500, 0)), "")</f>
        <v>01.02.06</v>
      </c>
      <c r="D11" s="12" t="s">
        <v>139</v>
      </c>
      <c r="E11" s="13">
        <v>38037.17</v>
      </c>
      <c r="F11" s="12"/>
    </row>
    <row r="12" spans="1:6" x14ac:dyDescent="0.3">
      <c r="A12" s="1" t="str">
        <f>Inicio!$E$6</f>
        <v>2025-09</v>
      </c>
      <c r="B12" s="5" t="s">
        <v>90</v>
      </c>
      <c r="C12" s="1" t="str">
        <f>IFERROR(INDEX(Catalogos!$A$2:$A$500, MATCH(B12, Catalogos!$B$2:$B$500, 0)), "")</f>
        <v>01.02.13</v>
      </c>
      <c r="D12" s="12"/>
      <c r="E12" s="13"/>
      <c r="F12" s="12"/>
    </row>
    <row r="13" spans="1:6" x14ac:dyDescent="0.3">
      <c r="A13" s="1" t="str">
        <f>Inicio!$E$6</f>
        <v>2025-09</v>
      </c>
      <c r="B13" s="5" t="s">
        <v>110</v>
      </c>
      <c r="C13" s="1" t="str">
        <f>IFERROR(INDEX(Catalogos!$A$2:$A$500, MATCH(B13, Catalogos!$B$2:$B$500, 0)), "")</f>
        <v>01.02.36</v>
      </c>
      <c r="D13" s="12" t="s">
        <v>145</v>
      </c>
      <c r="E13" s="13">
        <v>43430.41</v>
      </c>
      <c r="F13" s="12"/>
    </row>
    <row r="14" spans="1:6" x14ac:dyDescent="0.3">
      <c r="A14" s="1" t="str">
        <f>Inicio!$E$6</f>
        <v>2025-09</v>
      </c>
      <c r="B14" s="5" t="s">
        <v>74</v>
      </c>
      <c r="C14" s="1" t="str">
        <f>IFERROR(INDEX(Catalogos!$A$2:$A$500, MATCH(B14, Catalogos!$B$2:$B$500, 0)), "")</f>
        <v>01.02.05</v>
      </c>
      <c r="D14" s="12"/>
      <c r="E14" s="13"/>
      <c r="F14" s="12"/>
    </row>
    <row r="15" spans="1:6" x14ac:dyDescent="0.3">
      <c r="A15" s="1" t="str">
        <f>Inicio!$E$6</f>
        <v>2025-09</v>
      </c>
      <c r="B15" s="5" t="s">
        <v>70</v>
      </c>
      <c r="C15" s="1" t="str">
        <f>IFERROR(INDEX(Catalogos!$A$2:$A$500, MATCH(B15, Catalogos!$B$2:$B$500, 0)), "")</f>
        <v>01.02.03</v>
      </c>
      <c r="D15" s="12" t="s">
        <v>146</v>
      </c>
      <c r="E15" s="13">
        <v>10585.32</v>
      </c>
      <c r="F15" s="12" t="s">
        <v>147</v>
      </c>
    </row>
    <row r="16" spans="1:6" x14ac:dyDescent="0.3">
      <c r="A16" s="1" t="str">
        <f>Inicio!$E$6</f>
        <v>2025-09</v>
      </c>
      <c r="B16" s="5" t="s">
        <v>76</v>
      </c>
      <c r="C16" s="1" t="str">
        <f>IFERROR(INDEX(Catalogos!$A$2:$A$500, MATCH(B16, Catalogos!$B$2:$B$500, 0)), "")</f>
        <v>01.02.06</v>
      </c>
      <c r="D16" s="12" t="s">
        <v>140</v>
      </c>
      <c r="E16" s="13">
        <v>-4383.2299999999996</v>
      </c>
      <c r="F16" s="12" t="s">
        <v>141</v>
      </c>
    </row>
    <row r="17" spans="1:6" x14ac:dyDescent="0.3">
      <c r="A17" s="1" t="str">
        <f>Inicio!$E$6</f>
        <v>2025-09</v>
      </c>
      <c r="B17" s="5" t="s">
        <v>21</v>
      </c>
      <c r="C17" s="1" t="str">
        <f>IFERROR(INDEX(Catalogos!$A$2:$A$500, MATCH(B17, Catalogos!$B$2:$B$500, 0)), "")</f>
        <v>01.01.02</v>
      </c>
      <c r="D17" s="12" t="s">
        <v>142</v>
      </c>
      <c r="E17" s="13">
        <v>-1800</v>
      </c>
      <c r="F17" s="12" t="s">
        <v>143</v>
      </c>
    </row>
    <row r="18" spans="1:6" x14ac:dyDescent="0.3">
      <c r="A18" s="1" t="str">
        <f>Inicio!$E$6</f>
        <v>2025-09</v>
      </c>
      <c r="B18" s="5" t="s">
        <v>21</v>
      </c>
      <c r="C18" s="1" t="str">
        <f>IFERROR(INDEX(Catalogos!$A$2:$A$500, MATCH(B18, Catalogos!$B$2:$B$500, 0)), "")</f>
        <v>01.01.02</v>
      </c>
      <c r="D18" s="12"/>
      <c r="E18" s="13"/>
      <c r="F18" s="12"/>
    </row>
    <row r="19" spans="1:6" x14ac:dyDescent="0.3">
      <c r="A19" s="1" t="str">
        <f>Inicio!$E$6</f>
        <v>2025-09</v>
      </c>
      <c r="B19" s="5" t="s">
        <v>78</v>
      </c>
      <c r="C19" s="1" t="str">
        <f>IFERROR(INDEX(Catalogos!$A$2:$A$500, MATCH(B19, Catalogos!$B$2:$B$500, 0)), "")</f>
        <v>01.02.07</v>
      </c>
      <c r="D19" s="12" t="s">
        <v>144</v>
      </c>
      <c r="E19" s="13">
        <v>30562</v>
      </c>
      <c r="F19" s="12"/>
    </row>
    <row r="20" spans="1:6" x14ac:dyDescent="0.3">
      <c r="A20" s="1" t="str">
        <f>Inicio!$E$6</f>
        <v>2025-09</v>
      </c>
      <c r="B20" s="5" t="s">
        <v>112</v>
      </c>
      <c r="C20" s="1" t="str">
        <f>IFERROR(INDEX(Catalogos!$A$2:$A$500, MATCH(B20, Catalogos!$B$2:$B$500, 0)), "")</f>
        <v>01.02.37</v>
      </c>
      <c r="D20" s="12"/>
      <c r="E20" s="13"/>
      <c r="F20" s="12"/>
    </row>
    <row r="21" spans="1:6" x14ac:dyDescent="0.3">
      <c r="A21" s="1" t="str">
        <f>Inicio!$E$6</f>
        <v>2025-09</v>
      </c>
      <c r="B21" s="5" t="s">
        <v>104</v>
      </c>
      <c r="C21" s="1" t="str">
        <f>IFERROR(INDEX(Catalogos!$A$2:$A$500, MATCH(B21, Catalogos!$B$2:$B$500, 0)), "")</f>
        <v>01.02.33</v>
      </c>
      <c r="D21" s="12" t="s">
        <v>148</v>
      </c>
      <c r="E21" s="13">
        <v>14472.15</v>
      </c>
      <c r="F21" s="12"/>
    </row>
    <row r="22" spans="1:6" x14ac:dyDescent="0.3">
      <c r="A22" s="1" t="str">
        <f>Inicio!$E$6</f>
        <v>2025-09</v>
      </c>
      <c r="B22" s="5" t="s">
        <v>68</v>
      </c>
      <c r="C22" s="1" t="str">
        <f>IFERROR(INDEX(Catalogos!$A$2:$A$500, MATCH(B22, Catalogos!$B$2:$B$500, 0)), "")</f>
        <v>01.02.02</v>
      </c>
      <c r="D22" s="12" t="s">
        <v>149</v>
      </c>
      <c r="E22" s="13">
        <v>16616.400000000001</v>
      </c>
      <c r="F22" s="12"/>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disablePrompts="1"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2025-11-04T08:35:36Z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