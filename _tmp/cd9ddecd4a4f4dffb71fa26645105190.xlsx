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7CF33A8C-36D5-42B8-9608-DDA81F3F1D74}"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C1000"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<sst xmlns="http://schemas.openxmlformats.org/spreadsheetml/2006/main" count="83" uniqueCount="56">
  <si>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</si>
  <si>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</si>
  <si>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</si>
  <si>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</si>
  <si>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</si>
  <si>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</si>
  <si>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julio</t>
  </si>
  <si>
    <t>Empresa</t>
  </si>
  <si>
    <t>Construcciones Urdecon S.A.</t>
  </si>
  <si>
    <t>Proyecto</t>
  </si>
  <si>
    <t>PY_002512</t>
  </si>
  <si>
    <t>Capítulo_Cod</t>
  </si>
  <si>
    <t>Capítulo</t>
  </si>
  <si>
    <t>Meses</t>
  </si>
  <si>
    <t>01.01</t>
  </si>
  <si>
    <t>01.01.MEJORAA</t>
  </si>
  <si>
    <t>enero</t>
  </si>
  <si>
    <t>01.02</t>
  </si>
  <si>
    <t>01.02.SYSA</t>
  </si>
  <si>
    <t>febrero</t>
  </si>
  <si>
    <t>01.03</t>
  </si>
  <si>
    <t>01.03.RESIDUOSA</t>
  </si>
  <si>
    <t>marzo</t>
  </si>
  <si>
    <t>01.04</t>
  </si>
  <si>
    <t>01.04.CALIDADA</t>
  </si>
  <si>
    <t>abril</t>
  </si>
  <si>
    <t>01.05</t>
  </si>
  <si>
    <t>01.05.MEJORAD</t>
  </si>
  <si>
    <t>mayo</t>
  </si>
  <si>
    <t>01.06</t>
  </si>
  <si>
    <t>01.06.SYSD</t>
  </si>
  <si>
    <t>junio</t>
  </si>
  <si>
    <t>01.07</t>
  </si>
  <si>
    <t>01.07.PROYECTO</t>
  </si>
  <si>
    <t>01.07.RESIDUOSD</t>
  </si>
  <si>
    <t>agosto</t>
  </si>
  <si>
    <t>02.01</t>
  </si>
  <si>
    <t>02.01.COSTES IND</t>
  </si>
  <si>
    <t>septiembre</t>
  </si>
  <si>
    <t>octubre</t>
  </si>
  <si>
    <t>noviembre</t>
  </si>
  <si>
    <t>diciembre</t>
  </si>
  <si>
    <t>Certificación pendiente  y PDC</t>
  </si>
  <si>
    <t>Resto de Produccion</t>
  </si>
  <si>
    <t>Observaciones</t>
  </si>
  <si>
    <t>Proveedor</t>
  </si>
  <si>
    <t>Coste_Pendiente</t>
  </si>
  <si>
    <t>Daniel Montoya López</t>
  </si>
  <si>
    <t>Aunque la factura es de Octubre la proforma corresponde a septiembre</t>
  </si>
  <si>
    <t>Pinturas Romero</t>
  </si>
  <si>
    <t>Copertain</t>
  </si>
  <si>
    <t>Sin Facturar-Producción septiembre</t>
  </si>
  <si>
    <t>Teresa Sánchez Bernal</t>
  </si>
  <si>
    <t>Eurometal</t>
  </si>
  <si>
    <t>Inética instalaciones S.L.</t>
  </si>
  <si>
    <t>17757,29_producción septiembre factura octubre-943_producción septiembre sin facturar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</si>
</sst>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J9" sqref="J9"/>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38</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election activeCell="G8" sqref="G8"/>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6</v>
      </c>
    </row>
    <row r="9" spans="1:4" x14ac:dyDescent="0.3">
      <c r="A9" s="7" t="s">
        <v>32</v>
      </c>
      <c r="B9" t="s">
        <v>34</v>
      </c>
      <c r="D9" t="s">
        <v>35</v>
      </c>
    </row>
    <row r="10" spans="1:4" x14ac:dyDescent="0.3">
      <c r="A10" s="7" t="s">
        <v>36</v>
      </c>
      <c r="B10" t="s">
        <v>37</v>
      </c>
      <c r="D10" t="s">
        <v>38</v>
      </c>
    </row>
    <row r="11" spans="1:4" x14ac:dyDescent="0.3">
      <c r="A11" s="7"/>
      <c r="D11" t="s">
        <v>39</v>
      </c>
    </row>
    <row r="12" spans="1:4" x14ac:dyDescent="0.3">
      <c r="A12" s="7"/>
      <c r="D12" t="s">
        <v>40</v>
      </c>
    </row>
    <row r="13" spans="1:4" x14ac:dyDescent="0.3">
      <c r="A13" s="7"/>
      <c r="D13" t="s">
        <v>41</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2" sqref="D2"/>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42</v>
      </c>
      <c r="E1" s="2" t="s">
        <v>43</v>
      </c>
      <c r="F1" s="2" t="s">
        <v>44</v>
      </c>
    </row>
    <row r="2" spans="1:6" x14ac:dyDescent="0.3">
      <c r="A2" s="1" t="str">
        <f>Inicio!$E$6</f>
        <v>2025-09</v>
      </c>
      <c r="B2" s="11" t="s">
        <v>15</v>
      </c>
      <c r="C2" s="1" t="str">
        <f>IFERROR(INDEX(Catalogos!$A$2:$A$500, MATCH(B2, Catalogos!$B$2:$B$500, 0)), "")</f>
        <v>01.01</v>
      </c>
      <c r="D2" s="6"/>
      <c r="E2" s="6"/>
      <c r="F2" s="5"/>
    </row>
    <row r="3" spans="1:6" x14ac:dyDescent="0.3">
      <c r="A3" s="1" t="str">
        <f>Inicio!$E$6</f>
        <v>2025-09</v>
      </c>
      <c r="B3" s="11" t="s">
        <v>18</v>
      </c>
      <c r="C3" s="1" t="str">
        <f>IFERROR(INDEX(Catalogos!$A$2:$A$500, MATCH(B3, Catalogos!$B$2:$B$500, 0)), "")</f>
        <v>01.02</v>
      </c>
      <c r="D3" s="6"/>
      <c r="E3" s="6"/>
      <c r="F3" s="5"/>
    </row>
    <row r="4" spans="1:6" x14ac:dyDescent="0.3">
      <c r="A4" s="1" t="str">
        <f>Inicio!$E$6</f>
        <v>2025-09</v>
      </c>
      <c r="B4" s="11" t="s">
        <v>21</v>
      </c>
      <c r="C4" s="1" t="str">
        <f>IFERROR(INDEX(Catalogos!$A$2:$A$500, MATCH(B4, Catalogos!$B$2:$B$500, 0)), "")</f>
        <v>01.03</v>
      </c>
      <c r="D4" s="6"/>
      <c r="E4" s="6"/>
      <c r="F4" s="5"/>
    </row>
    <row r="5" spans="1:6" x14ac:dyDescent="0.3">
      <c r="A5" s="1" t="str">
        <f>Inicio!$E$6</f>
        <v>2025-09</v>
      </c>
      <c r="B5" s="11" t="s">
        <v>24</v>
      </c>
      <c r="C5" s="1" t="str">
        <f>IFERROR(INDEX(Catalogos!$A$2:$A$500, MATCH(B5, Catalogos!$B$2:$B$500, 0)), "")</f>
        <v>01.04</v>
      </c>
      <c r="D5" s="6"/>
      <c r="E5" s="6"/>
      <c r="F5" s="5"/>
    </row>
    <row r="6" spans="1:6" x14ac:dyDescent="0.3">
      <c r="A6" s="1" t="str">
        <f>Inicio!$E$6</f>
        <v>2025-09</v>
      </c>
      <c r="B6" s="11" t="s">
        <v>27</v>
      </c>
      <c r="C6" s="1" t="str">
        <f>IFERROR(INDEX(Catalogos!$A$2:$A$500, MATCH(B6, Catalogos!$B$2:$B$500, 0)), "")</f>
        <v>01.05</v>
      </c>
      <c r="D6" s="6"/>
      <c r="E6" s="6"/>
      <c r="F6" s="5"/>
    </row>
    <row r="7" spans="1:6" x14ac:dyDescent="0.3">
      <c r="A7" s="1" t="str">
        <f>Inicio!$E$6</f>
        <v>2025-09</v>
      </c>
      <c r="B7" s="11" t="s">
        <v>30</v>
      </c>
      <c r="C7" s="1" t="str">
        <f>IFERROR(INDEX(Catalogos!$A$2:$A$500, MATCH(B7, Catalogos!$B$2:$B$500, 0)), "")</f>
        <v>01.06</v>
      </c>
      <c r="D7" s="6"/>
      <c r="E7" s="6"/>
      <c r="F7" s="5"/>
    </row>
    <row r="8" spans="1:6" x14ac:dyDescent="0.3">
      <c r="A8" s="1" t="str">
        <f>Inicio!$E$6</f>
        <v>2025-09</v>
      </c>
      <c r="B8" s="11" t="s">
        <v>33</v>
      </c>
      <c r="C8" s="1" t="str">
        <f>IFERROR(INDEX(Catalogos!$A$2:$A$500, MATCH(B8, Catalogos!$B$2:$B$500, 0)), "")</f>
        <v>01.07</v>
      </c>
      <c r="D8" s="6"/>
      <c r="E8" s="6"/>
      <c r="F8" s="5"/>
    </row>
    <row r="9" spans="1:6" x14ac:dyDescent="0.3">
      <c r="A9" s="1" t="str">
        <f>Inicio!$E$6</f>
        <v>2025-09</v>
      </c>
      <c r="B9" s="11" t="s">
        <v>34</v>
      </c>
      <c r="C9" s="1" t="str">
        <f>IFERROR(INDEX(Catalogos!$A$2:$A$500, MATCH(B9, Catalogos!$B$2:$B$500, 0)), "")</f>
        <v>01.07</v>
      </c>
      <c r="D9" s="6"/>
      <c r="E9" s="6"/>
      <c r="F9" s="5"/>
    </row>
    <row r="10" spans="1:6" x14ac:dyDescent="0.3">
      <c r="A10" s="1" t="str">
        <f>Inicio!$E$6</f>
        <v>2025-09</v>
      </c>
      <c r="B10" s="11" t="s">
        <v>37</v>
      </c>
      <c r="C10" s="1" t="str">
        <f>IFERROR(INDEX(Catalogos!$A$2:$A$500, MATCH(B10, Catalogos!$B$2:$B$500, 0)), "")</f>
        <v>02.01</v>
      </c>
      <c r="D10" s="6"/>
      <c r="E10" s="6"/>
      <c r="F10" s="5"/>
    </row>
    <row r="11" spans="1:6" x14ac:dyDescent="0.3">
      <c r="A11" s="1" t="str">
        <f>Inicio!$E$6</f>
        <v>2025-09</v>
      </c>
      <c r="B11" s="11"/>
      <c r="C11" s="1" t="str">
        <f>IFERROR(INDEX(Catalogos!$A$2:$A$500, MATCH(B11, Catalogos!$B$2:$B$500, 0)), "")</f>
        <v/>
      </c>
      <c r="D11" s="6"/>
      <c r="E11" s="6"/>
      <c r="F11" s="5"/>
    </row>
    <row r="12" spans="1:6" x14ac:dyDescent="0.3">
      <c r="A12" s="1" t="str">
        <f>Inicio!$E$6</f>
        <v>2025-09</v>
      </c>
      <c r="B12" s="11"/>
      <c r="C12" s="1" t="str">
        <f>IFERROR(INDEX(Catalogos!$A$2:$A$500, MATCH(B12, Catalogos!$B$2:$B$500, 0)), "")</f>
        <v/>
      </c>
      <c r="D12" s="6"/>
      <c r="E12" s="6"/>
      <c r="F12" s="5"/>
    </row>
    <row r="13" spans="1:6" x14ac:dyDescent="0.3">
      <c r="A13" s="1" t="str">
        <f>Inicio!$E$6</f>
        <v>2025-09</v>
      </c>
      <c r="B13" s="11"/>
      <c r="C13" s="1" t="str">
        <f>IFERROR(INDEX(Catalogos!$A$2:$A$500, MATCH(B13, Catalogos!$B$2:$B$500, 0)), "")</f>
        <v/>
      </c>
      <c r="D13" s="6"/>
      <c r="E13" s="6"/>
      <c r="F13" s="5"/>
    </row>
    <row r="14" spans="1:6" x14ac:dyDescent="0.3">
      <c r="A14" s="1" t="str">
        <f>Inicio!$E$6</f>
        <v>2025-09</v>
      </c>
      <c r="B14" s="11"/>
      <c r="C14" s="1" t="str">
        <f>IFERROR(INDEX(Catalogos!$A$2:$A$500, MATCH(B14, Catalogos!$B$2:$B$500, 0)), "")</f>
        <v/>
      </c>
      <c r="D14" s="6"/>
      <c r="E14" s="6"/>
      <c r="F14" s="5"/>
    </row>
    <row r="15" spans="1:6" x14ac:dyDescent="0.3">
      <c r="A15" s="1" t="str">
        <f>Inicio!$E$6</f>
        <v>2025-09</v>
      </c>
      <c r="B15" s="11"/>
      <c r="C15" s="1" t="str">
        <f>IFERROR(INDEX(Catalogos!$A$2:$A$500, MATCH(B15, Catalogos!$B$2:$B$500, 0)), "")</f>
        <v/>
      </c>
      <c r="D15" s="6"/>
      <c r="E15" s="6"/>
      <c r="F15" s="5"/>
    </row>
    <row r="16" spans="1:6" x14ac:dyDescent="0.3">
      <c r="A16" s="1" t="str">
        <f>Inicio!$E$6</f>
        <v>2025-09</v>
      </c>
      <c r="B16" s="11"/>
      <c r="C16" s="1" t="str">
        <f>IFERROR(INDEX(Catalogos!$A$2:$A$500, MATCH(B16, Catalogos!$B$2:$B$500, 0)), "")</f>
        <v/>
      </c>
      <c r="D16" s="6"/>
      <c r="E16" s="6"/>
      <c r="F16" s="5"/>
    </row>
    <row r="17" spans="1:6" x14ac:dyDescent="0.3">
      <c r="A17" s="1" t="str">
        <f>Inicio!$E$6</f>
        <v>2025-09</v>
      </c>
      <c r="B17" s="11"/>
      <c r="C17" s="1" t="str">
        <f>IFERROR(INDEX(Catalogos!$A$2:$A$500, MATCH(B17, Catalogos!$B$2:$B$500, 0)), "")</f>
        <v/>
      </c>
      <c r="D17" s="6"/>
      <c r="E17" s="6"/>
      <c r="F17" s="5"/>
    </row>
    <row r="18" spans="1:6" x14ac:dyDescent="0.3">
      <c r="A18" s="1" t="str">
        <f>Inicio!$E$6</f>
        <v>2025-09</v>
      </c>
      <c r="B18" s="11"/>
      <c r="C18" s="1" t="str">
        <f>IFERROR(INDEX(Catalogos!$A$2:$A$500, MATCH(B18, Catalogos!$B$2:$B$500, 0)), "")</f>
        <v/>
      </c>
      <c r="D18" s="6"/>
      <c r="E18" s="6"/>
      <c r="F18" s="5"/>
    </row>
    <row r="19" spans="1:6" x14ac:dyDescent="0.3">
      <c r="A19" s="1" t="str">
        <f>Inicio!$E$6</f>
        <v>2025-09</v>
      </c>
      <c r="B19" s="11"/>
      <c r="C19" s="1" t="str">
        <f>IFERROR(INDEX(Catalogos!$A$2:$A$500, MATCH(B19, Catalogos!$B$2:$B$500, 0)), "")</f>
        <v/>
      </c>
      <c r="D19" s="6"/>
      <c r="E19" s="6"/>
      <c r="F19" s="5"/>
    </row>
    <row r="20" spans="1:6" x14ac:dyDescent="0.3">
      <c r="A20" s="1" t="str">
        <f>Inicio!$E$6</f>
        <v>2025-09</v>
      </c>
      <c r="B20" s="11"/>
      <c r="C20" s="1" t="str">
        <f>IFERROR(INDEX(Catalogos!$A$2:$A$500, MATCH(B20, Catalogos!$B$2:$B$500, 0)), "")</f>
        <v/>
      </c>
      <c r="D20" s="6"/>
      <c r="E20" s="6"/>
      <c r="F20" s="5"/>
    </row>
    <row r="21" spans="1:6" x14ac:dyDescent="0.3">
      <c r="A21" s="1" t="str">
        <f>Inicio!$E$6</f>
        <v>2025-09</v>
      </c>
      <c r="B21" s="11"/>
      <c r="C21" s="1" t="str">
        <f>IFERROR(INDEX(Catalogos!$A$2:$A$500, MATCH(B21, Catalogos!$B$2:$B$500, 0)), "")</f>
        <v/>
      </c>
      <c r="D21" s="6"/>
      <c r="E21" s="6"/>
      <c r="F21" s="5"/>
    </row>
    <row r="22" spans="1:6" x14ac:dyDescent="0.3">
      <c r="A22" s="1" t="str">
        <f>Inicio!$E$6</f>
        <v>2025-09</v>
      </c>
      <c r="B22" s="11"/>
      <c r="C22" s="1" t="str">
        <f>IFERROR(INDEX(Catalogos!$A$2:$A$500, MATCH(B22, Catalogos!$B$2:$B$500, 0)), "")</f>
        <v/>
      </c>
      <c r="D22" s="6"/>
      <c r="E22" s="6"/>
      <c r="F22" s="5"/>
    </row>
    <row r="23" spans="1:6" x14ac:dyDescent="0.3">
      <c r="A23" s="1" t="str">
        <f>Inicio!$E$6</f>
        <v>2025-09</v>
      </c>
      <c r="B23" s="11"/>
      <c r="C23" s="1" t="str">
        <f>IFERROR(INDEX(Catalogos!$A$2:$A$500, MATCH(B23, Catalogos!$B$2:$B$500, 0)), "")</f>
        <v/>
      </c>
      <c r="D23" s="6"/>
      <c r="E23" s="6"/>
      <c r="F23" s="5"/>
    </row>
    <row r="24" spans="1:6" x14ac:dyDescent="0.3">
      <c r="A24" s="1" t="str">
        <f>Inicio!$E$6</f>
        <v>2025-09</v>
      </c>
      <c r="B24" s="11"/>
      <c r="C24" s="1" t="str">
        <f>IFERROR(INDEX(Catalogos!$A$2:$A$500, MATCH(B24, Catalogos!$B$2:$B$500, 0)), "")</f>
        <v/>
      </c>
      <c r="D24" s="6"/>
      <c r="E24" s="6"/>
      <c r="F24" s="5"/>
    </row>
    <row r="25" spans="1:6" x14ac:dyDescent="0.3">
      <c r="A25" s="1" t="str">
        <f>Inicio!$E$6</f>
        <v>2025-09</v>
      </c>
      <c r="B25" s="11"/>
      <c r="C25" s="1" t="str">
        <f>IFERROR(INDEX(Catalogos!$A$2:$A$500, MATCH(B25, Catalogos!$B$2:$B$500, 0)), "")</f>
        <v/>
      </c>
      <c r="D25" s="6"/>
      <c r="E25" s="6"/>
      <c r="F25" s="5"/>
    </row>
    <row r="26" spans="1:6" x14ac:dyDescent="0.3">
      <c r="A26" s="1" t="str">
        <f>Inicio!$E$6</f>
        <v>2025-09</v>
      </c>
      <c r="B26" s="11"/>
      <c r="C26" s="1" t="str">
        <f>IFERROR(INDEX(Catalogos!$A$2:$A$500, MATCH(B26, Catalogos!$B$2:$B$500, 0)), "")</f>
        <v/>
      </c>
      <c r="D26" s="6"/>
      <c r="E26" s="6"/>
      <c r="F26" s="5"/>
    </row>
    <row r="27" spans="1:6" x14ac:dyDescent="0.3">
      <c r="A27" s="1" t="str">
        <f>Inicio!$E$6</f>
        <v>2025-09</v>
      </c>
      <c r="B27" s="11"/>
      <c r="C27" s="1" t="str">
        <f>IFERROR(INDEX(Catalogos!$A$2:$A$500, MATCH(B27, Catalogos!$B$2:$B$500, 0)), "")</f>
        <v/>
      </c>
      <c r="D27" s="6"/>
      <c r="E27" s="6"/>
      <c r="F27" s="5"/>
    </row>
    <row r="28" spans="1:6" x14ac:dyDescent="0.3">
      <c r="A28" s="1" t="str">
        <f>Inicio!$E$6</f>
        <v>2025-09</v>
      </c>
      <c r="B28" s="11"/>
      <c r="C28" s="1" t="str">
        <f>IFERROR(INDEX(Catalogos!$A$2:$A$500, MATCH(B28, Catalogos!$B$2:$B$500, 0)), "")</f>
        <v/>
      </c>
      <c r="D28" s="6"/>
      <c r="E28" s="6"/>
      <c r="F28" s="5"/>
    </row>
    <row r="29" spans="1:6" x14ac:dyDescent="0.3">
      <c r="A29" s="1" t="str">
        <f>Inicio!$E$6</f>
        <v>2025-09</v>
      </c>
      <c r="B29" s="11"/>
      <c r="C29" s="1" t="str">
        <f>IFERROR(INDEX(Catalogos!$A$2:$A$500, MATCH(B29, Catalogos!$B$2:$B$500, 0)), "")</f>
        <v/>
      </c>
      <c r="D29" s="6"/>
      <c r="E29" s="6"/>
      <c r="F29" s="5"/>
    </row>
    <row r="30" spans="1:6" x14ac:dyDescent="0.3">
      <c r="A30" s="1" t="str">
        <f>Inicio!$E$6</f>
        <v>2025-09</v>
      </c>
      <c r="B30" s="11"/>
      <c r="C30" s="1" t="str">
        <f>IFERROR(INDEX(Catalogos!$A$2:$A$500, MATCH(B30, Catalogos!$B$2:$B$500, 0)), "")</f>
        <v/>
      </c>
      <c r="D30" s="6"/>
      <c r="E30" s="6"/>
      <c r="F30" s="5"/>
    </row>
    <row r="31" spans="1:6" x14ac:dyDescent="0.3">
      <c r="A31" s="1" t="str">
        <f>Inicio!$E$6</f>
        <v>2025-09</v>
      </c>
      <c r="B31" s="11"/>
      <c r="C31" s="1" t="str">
        <f>IFERROR(INDEX(Catalogos!$A$2:$A$500, MATCH(B31, Catalogos!$B$2:$B$500, 0)), "")</f>
        <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B7" sqref="B7"/>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45</v>
      </c>
      <c r="E1" s="2" t="s">
        <v>46</v>
      </c>
      <c r="F1" s="2" t="s">
        <v>44</v>
      </c>
    </row>
    <row r="2" spans="1:6" x14ac:dyDescent="0.3">
      <c r="A2" s="1" t="str">
        <f>Inicio!$E$6</f>
        <v>2025-09</v>
      </c>
      <c r="B2" s="5" t="s">
        <v>27</v>
      </c>
      <c r="C2" s="1" t="str">
        <f>IFERROR(INDEX(Catalogos!$A$2:$A$500, MATCH(B2, Catalogos!$B$2:$B$500, 0)), "")</f>
        <v>01.05</v>
      </c>
      <c r="D2" s="5" t="s">
        <v>47</v>
      </c>
      <c r="E2" s="6">
        <v>998.98</v>
      </c>
      <c r="F2" s="5" t="s">
        <v>48</v>
      </c>
    </row>
    <row r="3" spans="1:6" x14ac:dyDescent="0.3">
      <c r="A3" s="1" t="str">
        <f>Inicio!$E$6</f>
        <v>2025-09</v>
      </c>
      <c r="B3" s="5" t="s">
        <v>27</v>
      </c>
      <c r="C3" s="1" t="str">
        <f>IFERROR(INDEX(Catalogos!$A$2:$A$500, MATCH(B3, Catalogos!$B$2:$B$500, 0)), "")</f>
        <v>01.05</v>
      </c>
      <c r="D3" s="5" t="s">
        <v>49</v>
      </c>
      <c r="E3" s="6">
        <v>7089.67</v>
      </c>
      <c r="F3" s="5" t="s">
        <v>48</v>
      </c>
    </row>
    <row r="4" spans="1:6" x14ac:dyDescent="0.3">
      <c r="A4" s="1" t="str">
        <f>Inicio!$E$6</f>
        <v>2025-09</v>
      </c>
      <c r="B4" s="5" t="s">
        <v>15</v>
      </c>
      <c r="C4" s="1" t="str">
        <f>IFERROR(INDEX(Catalogos!$A$2:$A$500, MATCH(B4, Catalogos!$B$2:$B$500, 0)), "")</f>
        <v>01.01</v>
      </c>
      <c r="D4" s="5" t="s">
        <v>54</v>
      </c>
      <c r="E4" s="6">
        <f>17757.29+943</f>
        <v>18700.29</v>
      </c>
      <c r="F4" s="5" t="s">
        <v>55</v>
      </c>
    </row>
    <row r="5" spans="1:6" x14ac:dyDescent="0.3">
      <c r="A5" s="1" t="str">
        <f>Inicio!$E$6</f>
        <v>2025-09</v>
      </c>
      <c r="B5" s="5" t="s">
        <v>15</v>
      </c>
      <c r="C5" s="1" t="str">
        <f>IFERROR(INDEX(Catalogos!$A$2:$A$500, MATCH(B5, Catalogos!$B$2:$B$500, 0)), "")</f>
        <v>01.01</v>
      </c>
      <c r="D5" s="5" t="s">
        <v>50</v>
      </c>
      <c r="E5" s="6">
        <v>2626.39</v>
      </c>
      <c r="F5" s="5" t="s">
        <v>51</v>
      </c>
    </row>
    <row r="6" spans="1:6" x14ac:dyDescent="0.3">
      <c r="A6" s="1" t="str">
        <f>Inicio!$E$6</f>
        <v>2025-09</v>
      </c>
      <c r="B6" s="5" t="s">
        <v>27</v>
      </c>
      <c r="C6" s="1" t="str">
        <f>IFERROR(INDEX(Catalogos!$A$2:$A$500, MATCH(B6, Catalogos!$B$2:$B$500, 0)), "")</f>
        <v>01.05</v>
      </c>
      <c r="D6" s="5" t="s">
        <v>52</v>
      </c>
      <c r="E6" s="6">
        <v>1435</v>
      </c>
      <c r="F6" s="5" t="s">
        <v>51</v>
      </c>
    </row>
    <row r="7" spans="1:6" x14ac:dyDescent="0.3">
      <c r="A7" s="1" t="str">
        <f>Inicio!$E$6</f>
        <v>2025-09</v>
      </c>
      <c r="B7" s="5" t="s">
        <v>15</v>
      </c>
      <c r="C7" s="1" t="str">
        <f>IFERROR(INDEX(Catalogos!$A$2:$A$500, MATCH(B7, Catalogos!$B$2:$B$500, 0)), "")</f>
        <v>01.01</v>
      </c>
      <c r="D7" s="5" t="s">
        <v>53</v>
      </c>
      <c r="E7" s="6">
        <v>19982.43</v>
      </c>
      <c r="F7" s="5" t="s">
        <v>51</v>
      </c>
    </row>
    <row r="8" spans="1:6" x14ac:dyDescent="0.3">
      <c r="A8" s="1" t="str">
        <f>Inicio!$E$6</f>
        <v>2025-09</v>
      </c>
      <c r="B8" s="5"/>
      <c r="C8" s="1" t="str">
        <f>IFERROR(INDEX(Catalogos!$A$2:$A$500, MATCH(B8, Catalogos!$B$2:$B$500, 0)), "")</f>
        <v/>
      </c>
      <c r="D8" s="5"/>
      <c r="E8" s="6"/>
      <c r="F8" s="5"/>
    </row>
    <row r="9" spans="1:6" x14ac:dyDescent="0.3">
      <c r="A9" s="1" t="str">
        <f>Inicio!$E$6</f>
        <v>2025-09</v>
      </c>
      <c r="B9" s="5"/>
      <c r="C9" s="1" t="str">
        <f>IFERROR(INDEX(Catalogos!$A$2:$A$500, MATCH(B9, Catalogos!$B$2:$B$500, 0)), "")</f>
        <v/>
      </c>
      <c r="D9" s="5"/>
      <c r="E9" s="6"/>
      <c r="F9" s="5"/>
    </row>
    <row r="10" spans="1:6" x14ac:dyDescent="0.3">
      <c r="A10" s="1" t="str">
        <f>Inicio!$E$6</f>
        <v>2025-09</v>
      </c>
      <c r="B10" s="5"/>
      <c r="C10" s="1" t="str">
        <f>IFERROR(INDEX(Catalogos!$A$2:$A$500, MATCH(B10, Catalogos!$B$2:$B$500, 0)), "")</f>
        <v/>
      </c>
      <c r="D10" s="5"/>
      <c r="E10" s="6"/>
      <c r="F10" s="5"/>
    </row>
    <row r="11" spans="1:6" x14ac:dyDescent="0.3">
      <c r="A11" s="1" t="str">
        <f>Inicio!$E$6</f>
        <v>2025-09</v>
      </c>
      <c r="B11" s="5"/>
      <c r="C11" s="1" t="str">
        <f>IFERROR(INDEX(Catalogos!$A$2:$A$500, MATCH(B11, Catalogos!$B$2:$B$500, 0)), "")</f>
        <v/>
      </c>
      <c r="D11" s="5"/>
      <c r="E11" s="6"/>
      <c r="F11" s="5"/>
    </row>
    <row r="12" spans="1:6" x14ac:dyDescent="0.3">
      <c r="A12" s="1" t="str">
        <f>Inicio!$E$6</f>
        <v>2025-09</v>
      </c>
      <c r="B12" s="5"/>
      <c r="C12" s="1" t="str">
        <f>IFERROR(INDEX(Catalogos!$A$2:$A$500, MATCH(B12, Catalogos!$B$2:$B$500, 0)), "")</f>
        <v/>
      </c>
      <c r="D12" s="5"/>
      <c r="E12" s="6"/>
      <c r="F12" s="5"/>
    </row>
    <row r="13" spans="1:6" x14ac:dyDescent="0.3">
      <c r="A13" s="1" t="str">
        <f>Inicio!$E$6</f>
        <v>2025-09</v>
      </c>
      <c r="B13" s="5"/>
      <c r="C13" s="1" t="str">
        <f>IFERROR(INDEX(Catalogos!$A$2:$A$500, MATCH(B13, Catalogos!$B$2:$B$500, 0)), "")</f>
        <v/>
      </c>
      <c r="D13" s="5"/>
      <c r="E13" s="6"/>
      <c r="F13" s="5"/>
    </row>
    <row r="14" spans="1:6" x14ac:dyDescent="0.3">
      <c r="A14" s="1" t="str">
        <f>Inicio!$E$6</f>
        <v>2025-09</v>
      </c>
      <c r="B14" s="5"/>
      <c r="C14" s="1" t="str">
        <f>IFERROR(INDEX(Catalogos!$A$2:$A$500, MATCH(B14, Catalogos!$B$2:$B$500, 0)), "")</f>
        <v/>
      </c>
      <c r="D14" s="5"/>
      <c r="E14" s="6"/>
      <c r="F14" s="5"/>
    </row>
    <row r="15" spans="1:6" x14ac:dyDescent="0.3">
      <c r="A15" s="1" t="str">
        <f>Inicio!$E$6</f>
        <v>2025-09</v>
      </c>
      <c r="B15" s="5"/>
      <c r="C15" s="1" t="str">
        <f>IFERROR(INDEX(Catalogos!$A$2:$A$500, MATCH(B15, Catalogos!$B$2:$B$500, 0)), "")</f>
        <v/>
      </c>
      <c r="D15" s="5"/>
      <c r="E15" s="6"/>
      <c r="F15" s="5"/>
    </row>
    <row r="16" spans="1:6" x14ac:dyDescent="0.3">
      <c r="A16" s="1" t="str">
        <f>Inicio!$E$6</f>
        <v>2025-09</v>
      </c>
      <c r="B16" s="5"/>
      <c r="C16" s="1" t="str">
        <f>IFERROR(INDEX(Catalogos!$A$2:$A$500, MATCH(B16, Catalogos!$B$2:$B$500, 0)), "")</f>
        <v/>
      </c>
      <c r="D16" s="5"/>
      <c r="E16" s="6"/>
      <c r="F16" s="5"/>
    </row>
    <row r="17" spans="1:6" x14ac:dyDescent="0.3">
      <c r="A17" s="1" t="str">
        <f>Inicio!$E$6</f>
        <v>2025-09</v>
      </c>
      <c r="B17" s="5"/>
      <c r="C17" s="1" t="str">
        <f>IFERROR(INDEX(Catalogos!$A$2:$A$500, MATCH(B17, Catalogos!$B$2:$B$500, 0)), "")</f>
        <v/>
      </c>
      <c r="D17" s="5"/>
      <c r="E17" s="6"/>
      <c r="F17" s="5"/>
    </row>
    <row r="18" spans="1:6" x14ac:dyDescent="0.3">
      <c r="A18" s="1" t="str">
        <f>Inicio!$E$6</f>
        <v>2025-09</v>
      </c>
      <c r="B18" s="5"/>
      <c r="C18" s="1" t="str">
        <f>IFERROR(INDEX(Catalogos!$A$2:$A$500, MATCH(B18, Catalogos!$B$2:$B$500, 0)), "")</f>
        <v/>
      </c>
      <c r="D18" s="5"/>
      <c r="E18" s="6"/>
      <c r="F18" s="5"/>
    </row>
    <row r="19" spans="1:6" x14ac:dyDescent="0.3">
      <c r="A19" s="1" t="str">
        <f>Inicio!$E$6</f>
        <v>2025-09</v>
      </c>
      <c r="B19" s="5"/>
      <c r="C19" s="1" t="str">
        <f>IFERROR(INDEX(Catalogos!$A$2:$A$500, MATCH(B19, Catalogos!$B$2:$B$500, 0)), "")</f>
        <v/>
      </c>
      <c r="D19" s="5"/>
      <c r="E19" s="6"/>
      <c r="F19" s="5"/>
    </row>
    <row r="20" spans="1:6" x14ac:dyDescent="0.3">
      <c r="A20" s="1" t="str">
        <f>Inicio!$E$6</f>
        <v>2025-09</v>
      </c>
      <c r="B20" s="5"/>
      <c r="C20" s="1" t="str">
        <f>IFERROR(INDEX(Catalogos!$A$2:$A$500, MATCH(B20, Catalogos!$B$2:$B$500, 0)), "")</f>
        <v/>
      </c>
      <c r="D20" s="5"/>
      <c r="E20" s="6"/>
      <c r="F20" s="5"/>
    </row>
    <row r="21" spans="1:6" x14ac:dyDescent="0.3">
      <c r="A21" s="1" t="str">
        <f>Inicio!$E$6</f>
        <v>2025-09</v>
      </c>
      <c r="B21" s="5"/>
      <c r="C21" s="1" t="str">
        <f>IFERROR(INDEX(Catalogos!$A$2:$A$500, MATCH(B21, Catalogos!$B$2:$B$500, 0)), "")</f>
        <v/>
      </c>
      <c r="D21" s="5"/>
      <c r="E21" s="6"/>
      <c r="F21" s="5"/>
    </row>
    <row r="22" spans="1:6" x14ac:dyDescent="0.3">
      <c r="A22" s="1" t="str">
        <f>Inicio!$E$6</f>
        <v>2025-09</v>
      </c>
      <c r="B22" s="5"/>
      <c r="C22" s="1" t="str">
        <f>IFERROR(INDEX(Catalogos!$A$2:$A$500, MATCH(B22, Catalogos!$B$2:$B$500, 0)), "")</f>
        <v/>
      </c>
      <c r="D22" s="5"/>
      <c r="E22" s="6"/>
      <c r="F22" s="5"/>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3d40e5-9a54-4b90-9587-f374c94acb0a">
      <Terms xmlns="http://schemas.microsoft.com/office/infopath/2007/PartnerControls"/>
    </lcf76f155ced4ddcb4097134ff3c332f>
    <TaxCatchAll xmlns="3e09a661-a414-4739-a1fa-c1dfeeda75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A581E3B51551A40A3D2AA2842495874" ma:contentTypeVersion="11" ma:contentTypeDescription="Crear nuevo documento." ma:contentTypeScope="" ma:versionID="4e3b6b5563f5f9849321b355013e7752">
  <xsd:schema xmlns:xsd="http://www.w3.org/2001/XMLSchema" xmlns:xs="http://www.w3.org/2001/XMLSchema" xmlns:p="http://schemas.microsoft.com/office/2006/metadata/properties" xmlns:ns2="823d40e5-9a54-4b90-9587-f374c94acb0a" xmlns:ns3="3e09a661-a414-4739-a1fa-c1dfeeda75b5" targetNamespace="http://schemas.microsoft.com/office/2006/metadata/properties" ma:root="true" ma:fieldsID="f224cfb9cd7b52a2236aff1997fdad23" ns2:_="" ns3:_="">
    <xsd:import namespace="823d40e5-9a54-4b90-9587-f374c94acb0a"/>
    <xsd:import namespace="3e09a661-a414-4739-a1fa-c1dfeeda75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d40e5-9a54-4b90-9587-f374c94ac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09a661-a414-4739-a1fa-c1dfeeda75b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336055-a67d-4d7a-8578-2420e80d93c2}" ma:internalName="TaxCatchAll" ma:showField="CatchAllData" ma:web="3e09a661-a414-4739-a1fa-c1dfeeda75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2.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823d40e5-9a54-4b90-9587-f374c94acb0a"/>
    <ds:schemaRef ds:uri="3e09a661-a414-4739-a1fa-c1dfeeda75b5"/>
  </ds:schemaRefs>
</ds:datastoreItem>
</file>

<file path=customXml/itemProps3.xml><?xml version="1.0" encoding="utf-8"?>
<ds:datastoreItem xmlns:ds="http://schemas.openxmlformats.org/officeDocument/2006/customXml" ds:itemID="{49D5A1E7-6657-4722-B4E7-62D04E7C27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d40e5-9a54-4b90-9587-f374c94acb0a"/>
    <ds:schemaRef ds:uri="3e09a661-a414-4739-a1fa-c1dfeeda75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0x0101006A581E3B51551A40A3D2AA2842495874</vt:lpwstr>
  </property>
  <property fmtid="{D5CDD505-2E9C-101B-9397-08002B2CF9AE}" pid="3" name="MediaServiceImageTags">
    <vt:lpwstr/>
  </property>
</Properties>
</file>