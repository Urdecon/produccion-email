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9660C711-FE83-42A9-945E-5BE32D32418C}"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<sst xmlns="http://schemas.openxmlformats.org/spreadsheetml/2006/main" count="141" uniqueCount="99">
  <si>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</si>
  <si>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</si>
  <si>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</si>
  <si>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</si>
  <si>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</si>
  <si>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</si>
  <si>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julio</t>
  </si>
  <si>
    <t>Empresa</t>
  </si>
  <si>
    <t>Construcciones Urdecon S.A.</t>
  </si>
  <si>
    <t>Proyecto</t>
  </si>
  <si>
    <t>PY_002521</t>
  </si>
  <si>
    <t>Capítulo_Cod</t>
  </si>
  <si>
    <t>Capítulo</t>
  </si>
  <si>
    <t>Meses</t>
  </si>
  <si>
    <t>01.01</t>
  </si>
  <si>
    <t>01.01.MOV TIERRAS</t>
  </si>
  <si>
    <t>enero</t>
  </si>
  <si>
    <t>01.02</t>
  </si>
  <si>
    <t>01.02.SANEAMIENTO</t>
  </si>
  <si>
    <t>febrero</t>
  </si>
  <si>
    <t>01.03</t>
  </si>
  <si>
    <t>01.03.CIMENTACION</t>
  </si>
  <si>
    <t>marzo</t>
  </si>
  <si>
    <t>01.04</t>
  </si>
  <si>
    <t>01.04.ESTRUCTURA</t>
  </si>
  <si>
    <t>abril</t>
  </si>
  <si>
    <t>01.05</t>
  </si>
  <si>
    <t>01.05.FACHADA Y ALB</t>
  </si>
  <si>
    <t>mayo</t>
  </si>
  <si>
    <t>01.06</t>
  </si>
  <si>
    <t>01.06.CUBIERTAS</t>
  </si>
  <si>
    <t>junio</t>
  </si>
  <si>
    <t>01.07</t>
  </si>
  <si>
    <t>01.07.REVESTIMIENTOS</t>
  </si>
  <si>
    <t>01.08</t>
  </si>
  <si>
    <t>01.08.SOLADOS</t>
  </si>
  <si>
    <t>agosto</t>
  </si>
  <si>
    <t>01.09</t>
  </si>
  <si>
    <t>01.09.CARPT MADERA</t>
  </si>
  <si>
    <t>septiembre</t>
  </si>
  <si>
    <t>01.10</t>
  </si>
  <si>
    <t>01.10.CARPT PVC</t>
  </si>
  <si>
    <t>octubre</t>
  </si>
  <si>
    <t>01.11</t>
  </si>
  <si>
    <t>01.11.CARPT METALICA</t>
  </si>
  <si>
    <t>noviembre</t>
  </si>
  <si>
    <t>01.12</t>
  </si>
  <si>
    <t>01.12.VIDRIO</t>
  </si>
  <si>
    <t>diciembre</t>
  </si>
  <si>
    <t>01.13</t>
  </si>
  <si>
    <t>01.13.PINTURA</t>
  </si>
  <si>
    <t>01.14</t>
  </si>
  <si>
    <t>01.14.EQUIP Y VARIOS</t>
  </si>
  <si>
    <t>01.15</t>
  </si>
  <si>
    <t>01.15.FONTANERIA</t>
  </si>
  <si>
    <t>01.16</t>
  </si>
  <si>
    <t>01.16.SANITARIOS</t>
  </si>
  <si>
    <t>01.17</t>
  </si>
  <si>
    <t>01.17.ELECTRICIDAD</t>
  </si>
  <si>
    <t>01.18</t>
  </si>
  <si>
    <t>01.18.CLIMATIZACION</t>
  </si>
  <si>
    <t>01.19</t>
  </si>
  <si>
    <t>01.19.PRODUCCION ACS</t>
  </si>
  <si>
    <t>01.20</t>
  </si>
  <si>
    <t>01.20.VENT GARAJES</t>
  </si>
  <si>
    <t>01.21</t>
  </si>
  <si>
    <t>01.21.VENT VIVIENDAS</t>
  </si>
  <si>
    <t>01.22</t>
  </si>
  <si>
    <t>01.22.TELECO</t>
  </si>
  <si>
    <t>01.23</t>
  </si>
  <si>
    <t>01.23.PROTC INCENDIO</t>
  </si>
  <si>
    <t>01.24</t>
  </si>
  <si>
    <t>01.24.ASCENSORES</t>
  </si>
  <si>
    <t>01.25</t>
  </si>
  <si>
    <t>01.25.RIEGO</t>
  </si>
  <si>
    <t>01.27</t>
  </si>
  <si>
    <t>01.27.URBANIZACION</t>
  </si>
  <si>
    <t>01.28</t>
  </si>
  <si>
    <t>01.28.RESIDUOS</t>
  </si>
  <si>
    <t>01.29</t>
  </si>
  <si>
    <t>01.29.SEG Y SALD</t>
  </si>
  <si>
    <t>01.31</t>
  </si>
  <si>
    <t>01.31.VARIANTES</t>
  </si>
  <si>
    <t>02.01</t>
  </si>
  <si>
    <t>02.01.COSTES IND</t>
  </si>
  <si>
    <t>Certificación pendiente  y PDC</t>
  </si>
  <si>
    <t>Resto de Produccion</t>
  </si>
  <si>
    <t>Observaciones</t>
  </si>
  <si>
    <t>Proveedor</t>
  </si>
  <si>
    <t>Coste_Pendiente</t>
  </si>
  <si>
    <t>SEFA RC IBERDROLA</t>
  </si>
  <si>
    <t>amortizacion de seguros (427,26€/MES)</t>
  </si>
  <si>
    <t>SEGURO MUSAAT</t>
  </si>
  <si>
    <t>amortizacion de seguros (176,36€/MES)</t>
  </si>
  <si>
    <t>AVAL</t>
  </si>
  <si>
    <t>amortizacion de seguros (98,61€/MES)</t>
  </si>
  <si>
    <t>CONSTRUCCIONES METALICAS MUÑOZ</t>
  </si>
  <si>
    <t>ferralla en muros acopiados</t>
  </si>
  <si>
    <t>49.702,25 losa + 5.475,63 horm limpieza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</si>
</sst>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39</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J9" sqref="J9"/>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6</v>
      </c>
    </row>
    <row r="9" spans="1:4" x14ac:dyDescent="0.3">
      <c r="A9" s="7" t="s">
        <v>34</v>
      </c>
      <c r="B9" t="s">
        <v>35</v>
      </c>
      <c r="D9" t="s">
        <v>36</v>
      </c>
    </row>
    <row r="10" spans="1:4" x14ac:dyDescent="0.3">
      <c r="A10" s="7" t="s">
        <v>37</v>
      </c>
      <c r="B10" t="s">
        <v>38</v>
      </c>
      <c r="D10" t="s">
        <v>39</v>
      </c>
    </row>
    <row r="11" spans="1:4" x14ac:dyDescent="0.3">
      <c r="A11" s="7" t="s">
        <v>40</v>
      </c>
      <c r="B11" t="s">
        <v>41</v>
      </c>
      <c r="D11" t="s">
        <v>42</v>
      </c>
    </row>
    <row r="12" spans="1:4" x14ac:dyDescent="0.3">
      <c r="A12" s="7" t="s">
        <v>43</v>
      </c>
      <c r="B12" t="s">
        <v>44</v>
      </c>
      <c r="D12" t="s">
        <v>45</v>
      </c>
    </row>
    <row r="13" spans="1:4" x14ac:dyDescent="0.3">
      <c r="A13" s="7" t="s">
        <v>46</v>
      </c>
      <c r="B13" t="s">
        <v>47</v>
      </c>
      <c r="D13" t="s">
        <v>48</v>
      </c>
    </row>
    <row r="14" spans="1:4" x14ac:dyDescent="0.3">
      <c r="A14" s="7" t="s">
        <v>49</v>
      </c>
      <c r="B14" t="s">
        <v>50</v>
      </c>
    </row>
    <row r="15" spans="1:4" x14ac:dyDescent="0.3">
      <c r="A15" s="7" t="s">
        <v>51</v>
      </c>
      <c r="B15" t="s">
        <v>52</v>
      </c>
    </row>
    <row r="16" spans="1:4" x14ac:dyDescent="0.3">
      <c r="A16" s="7" t="s">
        <v>53</v>
      </c>
      <c r="B16" t="s">
        <v>54</v>
      </c>
    </row>
    <row r="17" spans="1:2" x14ac:dyDescent="0.3">
      <c r="A17" s="7" t="s">
        <v>55</v>
      </c>
      <c r="B17" t="s">
        <v>56</v>
      </c>
    </row>
    <row r="18" spans="1:2" x14ac:dyDescent="0.3">
      <c r="A18" s="7" t="s">
        <v>57</v>
      </c>
      <c r="B18" t="s">
        <v>58</v>
      </c>
    </row>
    <row r="19" spans="1:2" x14ac:dyDescent="0.3">
      <c r="A19" s="7" t="s">
        <v>59</v>
      </c>
      <c r="B19" t="s">
        <v>60</v>
      </c>
    </row>
    <row r="20" spans="1:2" x14ac:dyDescent="0.3">
      <c r="A20" s="7" t="s">
        <v>61</v>
      </c>
      <c r="B20" t="s">
        <v>62</v>
      </c>
    </row>
    <row r="21" spans="1:2" x14ac:dyDescent="0.3">
      <c r="A21" s="7" t="s">
        <v>63</v>
      </c>
      <c r="B21" t="s">
        <v>64</v>
      </c>
    </row>
    <row r="22" spans="1:2" x14ac:dyDescent="0.3">
      <c r="A22" s="7" t="s">
        <v>65</v>
      </c>
      <c r="B22" t="s">
        <v>66</v>
      </c>
    </row>
    <row r="23" spans="1:2" x14ac:dyDescent="0.3">
      <c r="A23" s="7" t="s">
        <v>67</v>
      </c>
      <c r="B23" t="s">
        <v>68</v>
      </c>
    </row>
    <row r="24" spans="1:2" x14ac:dyDescent="0.3">
      <c r="A24" s="7" t="s">
        <v>69</v>
      </c>
      <c r="B24" t="s">
        <v>70</v>
      </c>
    </row>
    <row r="25" spans="1:2" x14ac:dyDescent="0.3">
      <c r="A25" s="7" t="s">
        <v>71</v>
      </c>
      <c r="B25" t="s">
        <v>72</v>
      </c>
    </row>
    <row r="26" spans="1:2" x14ac:dyDescent="0.3">
      <c r="A26" s="7" t="s">
        <v>73</v>
      </c>
      <c r="B26" t="s">
        <v>74</v>
      </c>
    </row>
    <row r="27" spans="1:2" x14ac:dyDescent="0.3">
      <c r="A27" s="7" t="s">
        <v>75</v>
      </c>
      <c r="B27" t="s">
        <v>76</v>
      </c>
    </row>
    <row r="28" spans="1:2" x14ac:dyDescent="0.3">
      <c r="A28" s="7" t="s">
        <v>77</v>
      </c>
      <c r="B28" t="s">
        <v>78</v>
      </c>
    </row>
    <row r="29" spans="1:2" x14ac:dyDescent="0.3">
      <c r="A29" s="7" t="s">
        <v>79</v>
      </c>
      <c r="B29" t="s">
        <v>80</v>
      </c>
    </row>
    <row r="30" spans="1:2" x14ac:dyDescent="0.3">
      <c r="A30" s="7" t="s">
        <v>81</v>
      </c>
      <c r="B30" t="s">
        <v>82</v>
      </c>
    </row>
    <row r="31" spans="1:2" x14ac:dyDescent="0.3">
      <c r="A31" s="7" t="s">
        <v>83</v>
      </c>
      <c r="B31" t="s">
        <v>84</v>
      </c>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M17" sqref="M17"/>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85</v>
      </c>
      <c r="E1" s="2" t="s">
        <v>86</v>
      </c>
      <c r="F1" s="2" t="s">
        <v>87</v>
      </c>
    </row>
    <row r="2" spans="1:6" x14ac:dyDescent="0.3">
      <c r="A2" s="1" t="str">
        <f>Inicio!$E$6</f>
        <v>2025-09</v>
      </c>
      <c r="B2" s="11" t="s">
        <v>15</v>
      </c>
      <c r="C2" s="1" t="str">
        <f>IFERROR(INDEX(Catalogos!$A$2:$A$500, MATCH(B2, Catalogos!$B$2:$B$500, 0)), "")</f>
        <v>01.01</v>
      </c>
      <c r="D2" s="6"/>
      <c r="E2" s="6"/>
      <c r="F2" s="5"/>
    </row>
    <row r="3" spans="1:6" x14ac:dyDescent="0.3">
      <c r="A3" s="1" t="str">
        <f>Inicio!$E$6</f>
        <v>2025-09</v>
      </c>
      <c r="B3" s="11" t="s">
        <v>18</v>
      </c>
      <c r="C3" s="1" t="str">
        <f>IFERROR(INDEX(Catalogos!$A$2:$A$500, MATCH(B3, Catalogos!$B$2:$B$500, 0)), "")</f>
        <v>01.02</v>
      </c>
      <c r="D3" s="6"/>
      <c r="E3" s="6"/>
      <c r="F3" s="5"/>
    </row>
    <row r="4" spans="1:6" x14ac:dyDescent="0.3">
      <c r="A4" s="1" t="str">
        <f>Inicio!$E$6</f>
        <v>2025-09</v>
      </c>
      <c r="B4" s="11" t="s">
        <v>21</v>
      </c>
      <c r="C4" s="1" t="str">
        <f>IFERROR(INDEX(Catalogos!$A$2:$A$500, MATCH(B4, Catalogos!$B$2:$B$500, 0)), "")</f>
        <v>01.03</v>
      </c>
      <c r="D4" s="6"/>
      <c r="E4" s="6">
        <v>55177.88</v>
      </c>
      <c r="F4" s="5" t="s">
        <v>98</v>
      </c>
    </row>
    <row r="5" spans="1:6" x14ac:dyDescent="0.3">
      <c r="A5" s="1" t="str">
        <f>Inicio!$E$6</f>
        <v>2025-09</v>
      </c>
      <c r="B5" s="11" t="s">
        <v>24</v>
      </c>
      <c r="C5" s="1" t="str">
        <f>IFERROR(INDEX(Catalogos!$A$2:$A$500, MATCH(B5, Catalogos!$B$2:$B$500, 0)), "")</f>
        <v>01.04</v>
      </c>
      <c r="D5" s="6"/>
      <c r="E5" s="6"/>
      <c r="F5" s="5"/>
    </row>
    <row r="6" spans="1:6" x14ac:dyDescent="0.3">
      <c r="A6" s="1" t="str">
        <f>Inicio!$E$6</f>
        <v>2025-09</v>
      </c>
      <c r="B6" s="11" t="s">
        <v>27</v>
      </c>
      <c r="C6" s="1" t="str">
        <f>IFERROR(INDEX(Catalogos!$A$2:$A$500, MATCH(B6, Catalogos!$B$2:$B$500, 0)), "")</f>
        <v>01.05</v>
      </c>
      <c r="D6" s="6"/>
      <c r="E6" s="6"/>
      <c r="F6" s="5"/>
    </row>
    <row r="7" spans="1:6" x14ac:dyDescent="0.3">
      <c r="A7" s="1" t="str">
        <f>Inicio!$E$6</f>
        <v>2025-09</v>
      </c>
      <c r="B7" s="11" t="s">
        <v>30</v>
      </c>
      <c r="C7" s="1" t="str">
        <f>IFERROR(INDEX(Catalogos!$A$2:$A$500, MATCH(B7, Catalogos!$B$2:$B$500, 0)), "")</f>
        <v>01.06</v>
      </c>
      <c r="D7" s="6"/>
      <c r="E7" s="6"/>
      <c r="F7" s="5"/>
    </row>
    <row r="8" spans="1:6" x14ac:dyDescent="0.3">
      <c r="A8" s="1" t="str">
        <f>Inicio!$E$6</f>
        <v>2025-09</v>
      </c>
      <c r="B8" s="11" t="s">
        <v>33</v>
      </c>
      <c r="C8" s="1" t="str">
        <f>IFERROR(INDEX(Catalogos!$A$2:$A$500, MATCH(B8, Catalogos!$B$2:$B$500, 0)), "")</f>
        <v>01.07</v>
      </c>
      <c r="D8" s="6"/>
      <c r="E8" s="6"/>
      <c r="F8" s="5"/>
    </row>
    <row r="9" spans="1:6" x14ac:dyDescent="0.3">
      <c r="A9" s="1" t="str">
        <f>Inicio!$E$6</f>
        <v>2025-09</v>
      </c>
      <c r="B9" s="11" t="s">
        <v>35</v>
      </c>
      <c r="C9" s="1" t="str">
        <f>IFERROR(INDEX(Catalogos!$A$2:$A$500, MATCH(B9, Catalogos!$B$2:$B$500, 0)), "")</f>
        <v>01.08</v>
      </c>
      <c r="D9" s="6"/>
      <c r="E9" s="6"/>
      <c r="F9" s="5"/>
    </row>
    <row r="10" spans="1:6" x14ac:dyDescent="0.3">
      <c r="A10" s="1" t="str">
        <f>Inicio!$E$6</f>
        <v>2025-09</v>
      </c>
      <c r="B10" s="11" t="s">
        <v>38</v>
      </c>
      <c r="C10" s="1" t="str">
        <f>IFERROR(INDEX(Catalogos!$A$2:$A$500, MATCH(B10, Catalogos!$B$2:$B$500, 0)), "")</f>
        <v>01.09</v>
      </c>
      <c r="D10" s="6"/>
      <c r="E10" s="6"/>
      <c r="F10" s="5"/>
    </row>
    <row r="11" spans="1:6" x14ac:dyDescent="0.3">
      <c r="A11" s="1" t="str">
        <f>Inicio!$E$6</f>
        <v>2025-09</v>
      </c>
      <c r="B11" s="11" t="s">
        <v>41</v>
      </c>
      <c r="C11" s="1" t="str">
        <f>IFERROR(INDEX(Catalogos!$A$2:$A$500, MATCH(B11, Catalogos!$B$2:$B$500, 0)), "")</f>
        <v>01.10</v>
      </c>
      <c r="D11" s="6"/>
      <c r="E11" s="6"/>
      <c r="F11" s="5"/>
    </row>
    <row r="12" spans="1:6" x14ac:dyDescent="0.3">
      <c r="A12" s="1" t="str">
        <f>Inicio!$E$6</f>
        <v>2025-09</v>
      </c>
      <c r="B12" s="11" t="s">
        <v>44</v>
      </c>
      <c r="C12" s="1" t="str">
        <f>IFERROR(INDEX(Catalogos!$A$2:$A$500, MATCH(B12, Catalogos!$B$2:$B$500, 0)), "")</f>
        <v>01.11</v>
      </c>
      <c r="D12" s="6"/>
      <c r="E12" s="6"/>
      <c r="F12" s="5"/>
    </row>
    <row r="13" spans="1:6" x14ac:dyDescent="0.3">
      <c r="A13" s="1" t="str">
        <f>Inicio!$E$6</f>
        <v>2025-09</v>
      </c>
      <c r="B13" s="11" t="s">
        <v>47</v>
      </c>
      <c r="C13" s="1" t="str">
        <f>IFERROR(INDEX(Catalogos!$A$2:$A$500, MATCH(B13, Catalogos!$B$2:$B$500, 0)), "")</f>
        <v>01.12</v>
      </c>
      <c r="D13" s="6"/>
      <c r="E13" s="6"/>
      <c r="F13" s="5"/>
    </row>
    <row r="14" spans="1:6" x14ac:dyDescent="0.3">
      <c r="A14" s="1" t="str">
        <f>Inicio!$E$6</f>
        <v>2025-09</v>
      </c>
      <c r="B14" s="11" t="s">
        <v>50</v>
      </c>
      <c r="C14" s="1" t="str">
        <f>IFERROR(INDEX(Catalogos!$A$2:$A$500, MATCH(B14, Catalogos!$B$2:$B$500, 0)), "")</f>
        <v>01.13</v>
      </c>
      <c r="D14" s="6"/>
      <c r="E14" s="6"/>
      <c r="F14" s="5"/>
    </row>
    <row r="15" spans="1:6" x14ac:dyDescent="0.3">
      <c r="A15" s="1" t="str">
        <f>Inicio!$E$6</f>
        <v>2025-09</v>
      </c>
      <c r="B15" s="11" t="s">
        <v>52</v>
      </c>
      <c r="C15" s="1" t="str">
        <f>IFERROR(INDEX(Catalogos!$A$2:$A$500, MATCH(B15, Catalogos!$B$2:$B$500, 0)), "")</f>
        <v>01.14</v>
      </c>
      <c r="D15" s="6"/>
      <c r="E15" s="6"/>
      <c r="F15" s="5"/>
    </row>
    <row r="16" spans="1:6" x14ac:dyDescent="0.3">
      <c r="A16" s="1" t="str">
        <f>Inicio!$E$6</f>
        <v>2025-09</v>
      </c>
      <c r="B16" s="11" t="s">
        <v>54</v>
      </c>
      <c r="C16" s="1" t="str">
        <f>IFERROR(INDEX(Catalogos!$A$2:$A$500, MATCH(B16, Catalogos!$B$2:$B$500, 0)), "")</f>
        <v>01.15</v>
      </c>
      <c r="D16" s="6"/>
      <c r="E16" s="6"/>
      <c r="F16" s="5"/>
    </row>
    <row r="17" spans="1:6" x14ac:dyDescent="0.3">
      <c r="A17" s="1" t="str">
        <f>Inicio!$E$6</f>
        <v>2025-09</v>
      </c>
      <c r="B17" s="11" t="s">
        <v>56</v>
      </c>
      <c r="C17" s="1" t="str">
        <f>IFERROR(INDEX(Catalogos!$A$2:$A$500, MATCH(B17, Catalogos!$B$2:$B$500, 0)), "")</f>
        <v>01.16</v>
      </c>
      <c r="D17" s="6"/>
      <c r="E17" s="6"/>
      <c r="F17" s="5"/>
    </row>
    <row r="18" spans="1:6" x14ac:dyDescent="0.3">
      <c r="A18" s="1" t="str">
        <f>Inicio!$E$6</f>
        <v>2025-09</v>
      </c>
      <c r="B18" s="11" t="s">
        <v>58</v>
      </c>
      <c r="C18" s="1" t="str">
        <f>IFERROR(INDEX(Catalogos!$A$2:$A$500, MATCH(B18, Catalogos!$B$2:$B$500, 0)), "")</f>
        <v>01.17</v>
      </c>
      <c r="D18" s="6"/>
      <c r="E18" s="6"/>
      <c r="F18" s="5"/>
    </row>
    <row r="19" spans="1:6" x14ac:dyDescent="0.3">
      <c r="A19" s="1" t="str">
        <f>Inicio!$E$6</f>
        <v>2025-09</v>
      </c>
      <c r="B19" s="11" t="s">
        <v>60</v>
      </c>
      <c r="C19" s="1" t="str">
        <f>IFERROR(INDEX(Catalogos!$A$2:$A$500, MATCH(B19, Catalogos!$B$2:$B$500, 0)), "")</f>
        <v>01.18</v>
      </c>
      <c r="D19" s="6"/>
      <c r="E19" s="6"/>
      <c r="F19" s="5"/>
    </row>
    <row r="20" spans="1:6" x14ac:dyDescent="0.3">
      <c r="A20" s="1" t="str">
        <f>Inicio!$E$6</f>
        <v>2025-09</v>
      </c>
      <c r="B20" s="11" t="s">
        <v>62</v>
      </c>
      <c r="C20" s="1" t="str">
        <f>IFERROR(INDEX(Catalogos!$A$2:$A$500, MATCH(B20, Catalogos!$B$2:$B$500, 0)), "")</f>
        <v>01.19</v>
      </c>
      <c r="D20" s="6"/>
      <c r="E20" s="6"/>
      <c r="F20" s="5"/>
    </row>
    <row r="21" spans="1:6" x14ac:dyDescent="0.3">
      <c r="A21" s="1" t="str">
        <f>Inicio!$E$6</f>
        <v>2025-09</v>
      </c>
      <c r="B21" s="11" t="s">
        <v>64</v>
      </c>
      <c r="C21" s="1" t="str">
        <f>IFERROR(INDEX(Catalogos!$A$2:$A$500, MATCH(B21, Catalogos!$B$2:$B$500, 0)), "")</f>
        <v>01.20</v>
      </c>
      <c r="D21" s="6"/>
      <c r="E21" s="6"/>
      <c r="F21" s="5"/>
    </row>
    <row r="22" spans="1:6" x14ac:dyDescent="0.3">
      <c r="A22" s="1" t="str">
        <f>Inicio!$E$6</f>
        <v>2025-09</v>
      </c>
      <c r="B22" s="11" t="s">
        <v>66</v>
      </c>
      <c r="C22" s="1" t="str">
        <f>IFERROR(INDEX(Catalogos!$A$2:$A$500, MATCH(B22, Catalogos!$B$2:$B$500, 0)), "")</f>
        <v>01.21</v>
      </c>
      <c r="D22" s="6"/>
      <c r="E22" s="6"/>
      <c r="F22" s="5"/>
    </row>
    <row r="23" spans="1:6" x14ac:dyDescent="0.3">
      <c r="A23" s="1" t="str">
        <f>Inicio!$E$6</f>
        <v>2025-09</v>
      </c>
      <c r="B23" s="11" t="s">
        <v>68</v>
      </c>
      <c r="C23" s="1" t="str">
        <f>IFERROR(INDEX(Catalogos!$A$2:$A$500, MATCH(B23, Catalogos!$B$2:$B$500, 0)), "")</f>
        <v>01.22</v>
      </c>
      <c r="D23" s="6"/>
      <c r="E23" s="6"/>
      <c r="F23" s="5"/>
    </row>
    <row r="24" spans="1:6" x14ac:dyDescent="0.3">
      <c r="A24" s="1" t="str">
        <f>Inicio!$E$6</f>
        <v>2025-09</v>
      </c>
      <c r="B24" s="11" t="s">
        <v>70</v>
      </c>
      <c r="C24" s="1" t="str">
        <f>IFERROR(INDEX(Catalogos!$A$2:$A$500, MATCH(B24, Catalogos!$B$2:$B$500, 0)), "")</f>
        <v>01.23</v>
      </c>
      <c r="D24" s="6"/>
      <c r="E24" s="6"/>
      <c r="F24" s="5"/>
    </row>
    <row r="25" spans="1:6" x14ac:dyDescent="0.3">
      <c r="A25" s="1" t="str">
        <f>Inicio!$E$6</f>
        <v>2025-09</v>
      </c>
      <c r="B25" s="11" t="s">
        <v>72</v>
      </c>
      <c r="C25" s="1" t="str">
        <f>IFERROR(INDEX(Catalogos!$A$2:$A$500, MATCH(B25, Catalogos!$B$2:$B$500, 0)), "")</f>
        <v>01.24</v>
      </c>
      <c r="D25" s="6"/>
      <c r="E25" s="6"/>
      <c r="F25" s="5"/>
    </row>
    <row r="26" spans="1:6" x14ac:dyDescent="0.3">
      <c r="A26" s="1" t="str">
        <f>Inicio!$E$6</f>
        <v>2025-09</v>
      </c>
      <c r="B26" s="11" t="s">
        <v>74</v>
      </c>
      <c r="C26" s="1" t="str">
        <f>IFERROR(INDEX(Catalogos!$A$2:$A$500, MATCH(B26, Catalogos!$B$2:$B$500, 0)), "")</f>
        <v>01.25</v>
      </c>
      <c r="D26" s="6"/>
      <c r="E26" s="6"/>
      <c r="F26" s="5"/>
    </row>
    <row r="27" spans="1:6" x14ac:dyDescent="0.3">
      <c r="A27" s="1" t="str">
        <f>Inicio!$E$6</f>
        <v>2025-09</v>
      </c>
      <c r="B27" s="11" t="s">
        <v>76</v>
      </c>
      <c r="C27" s="1" t="str">
        <f>IFERROR(INDEX(Catalogos!$A$2:$A$500, MATCH(B27, Catalogos!$B$2:$B$500, 0)), "")</f>
        <v>01.27</v>
      </c>
      <c r="D27" s="6"/>
      <c r="E27" s="6"/>
      <c r="F27" s="5"/>
    </row>
    <row r="28" spans="1:6" x14ac:dyDescent="0.3">
      <c r="A28" s="1" t="str">
        <f>Inicio!$E$6</f>
        <v>2025-09</v>
      </c>
      <c r="B28" s="11" t="s">
        <v>78</v>
      </c>
      <c r="C28" s="1" t="str">
        <f>IFERROR(INDEX(Catalogos!$A$2:$A$500, MATCH(B28, Catalogos!$B$2:$B$500, 0)), "")</f>
        <v>01.28</v>
      </c>
      <c r="D28" s="6"/>
      <c r="E28" s="6"/>
      <c r="F28" s="5"/>
    </row>
    <row r="29" spans="1:6" x14ac:dyDescent="0.3">
      <c r="A29" s="1" t="str">
        <f>Inicio!$E$6</f>
        <v>2025-09</v>
      </c>
      <c r="B29" s="11" t="s">
        <v>80</v>
      </c>
      <c r="C29" s="1" t="str">
        <f>IFERROR(INDEX(Catalogos!$A$2:$A$500, MATCH(B29, Catalogos!$B$2:$B$500, 0)), "")</f>
        <v>01.29</v>
      </c>
      <c r="D29" s="6"/>
      <c r="E29" s="6"/>
      <c r="F29" s="5"/>
    </row>
    <row r="30" spans="1:6" x14ac:dyDescent="0.3">
      <c r="A30" s="1" t="str">
        <f>Inicio!$E$6</f>
        <v>2025-09</v>
      </c>
      <c r="B30" s="11" t="s">
        <v>82</v>
      </c>
      <c r="C30" s="1" t="str">
        <f>IFERROR(INDEX(Catalogos!$A$2:$A$500, MATCH(B30, Catalogos!$B$2:$B$500, 0)), "")</f>
        <v>01.31</v>
      </c>
      <c r="D30" s="6"/>
      <c r="E30" s="6"/>
      <c r="F30" s="5"/>
    </row>
    <row r="31" spans="1:6" x14ac:dyDescent="0.3">
      <c r="A31" s="1" t="str">
        <f>Inicio!$E$6</f>
        <v>2025-09</v>
      </c>
      <c r="B31" s="11" t="s">
        <v>84</v>
      </c>
      <c r="C31" s="1" t="str">
        <f>IFERROR(INDEX(Catalogos!$A$2:$A$500, MATCH(B31, Catalogos!$B$2:$B$500, 0)), "")</f>
        <v>02.01</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M14" sqref="M14"/>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88</v>
      </c>
      <c r="E1" s="2" t="s">
        <v>89</v>
      </c>
      <c r="F1" s="2" t="s">
        <v>87</v>
      </c>
    </row>
    <row r="2" spans="1:6" x14ac:dyDescent="0.3">
      <c r="A2" s="1" t="str">
        <f>Inicio!$E$6</f>
        <v>2025-09</v>
      </c>
      <c r="B2" s="5" t="s">
        <v>84</v>
      </c>
      <c r="C2" s="1" t="str">
        <f>IFERROR(INDEX(Catalogos!$A$2:$A$500, MATCH(B2, Catalogos!$B$2:$B$500, 0)), "")</f>
        <v>02.01</v>
      </c>
      <c r="D2" s="5" t="s">
        <v>90</v>
      </c>
      <c r="E2" s="6">
        <v>-8545.1</v>
      </c>
      <c r="F2" s="5" t="s">
        <v>91</v>
      </c>
    </row>
    <row r="3" spans="1:6" x14ac:dyDescent="0.3">
      <c r="A3" s="1" t="str">
        <f>Inicio!$E$6</f>
        <v>2025-09</v>
      </c>
      <c r="B3" s="5" t="s">
        <v>84</v>
      </c>
      <c r="C3" s="1" t="str">
        <f>IFERROR(INDEX(Catalogos!$A$2:$A$500, MATCH(B3, Catalogos!$B$2:$B$500, 0)), "")</f>
        <v>02.01</v>
      </c>
      <c r="D3" s="5" t="s">
        <v>92</v>
      </c>
      <c r="E3" s="6">
        <v>-3480.04</v>
      </c>
      <c r="F3" s="5" t="s">
        <v>93</v>
      </c>
    </row>
    <row r="4" spans="1:6" x14ac:dyDescent="0.3">
      <c r="A4" s="1" t="str">
        <f>Inicio!$E$6</f>
        <v>2025-09</v>
      </c>
      <c r="B4" s="5" t="s">
        <v>84</v>
      </c>
      <c r="C4" s="1" t="str">
        <f>IFERROR(INDEX(Catalogos!$A$2:$A$500, MATCH(B4, Catalogos!$B$2:$B$500, 0)), "")</f>
        <v>02.01</v>
      </c>
      <c r="D4" s="5" t="s">
        <v>94</v>
      </c>
      <c r="E4" s="6">
        <v>-1972.22</v>
      </c>
      <c r="F4" s="5" t="s">
        <v>95</v>
      </c>
    </row>
    <row r="5" spans="1:6" x14ac:dyDescent="0.3">
      <c r="A5" s="1" t="str">
        <f>Inicio!$E$6</f>
        <v>2025-09</v>
      </c>
      <c r="B5" s="5" t="s">
        <v>21</v>
      </c>
      <c r="C5" s="1" t="str">
        <f>IFERROR(INDEX(Catalogos!$A$2:$A$500, MATCH(B5, Catalogos!$B$2:$B$500, 0)), "")</f>
        <v>01.03</v>
      </c>
      <c r="D5" s="5" t="s">
        <v>96</v>
      </c>
      <c r="E5" s="6">
        <v>-14256</v>
      </c>
      <c r="F5" s="5" t="s">
        <v>97</v>
      </c>
    </row>
    <row r="6" spans="1:6" x14ac:dyDescent="0.3">
      <c r="A6" s="1" t="str">
        <f>Inicio!$E$6</f>
        <v>2025-09</v>
      </c>
      <c r="B6" s="5"/>
      <c r="C6" s="1" t="str">
        <f>IFERROR(INDEX(Catalogos!$A$2:$A$500, MATCH(B6, Catalogos!$B$2:$B$500, 0)), "")</f>
        <v/>
      </c>
      <c r="D6" s="5"/>
      <c r="E6" s="6"/>
      <c r="F6" s="5"/>
    </row>
    <row r="7" spans="1:6" x14ac:dyDescent="0.3">
      <c r="A7" s="1" t="str">
        <f>Inicio!$E$6</f>
        <v>2025-09</v>
      </c>
      <c r="B7" s="5"/>
      <c r="C7" s="1" t="str">
        <f>IFERROR(INDEX(Catalogos!$A$2:$A$500, MATCH(B7, Catalogos!$B$2:$B$500, 0)), "")</f>
        <v/>
      </c>
      <c r="D7" s="5"/>
      <c r="E7" s="6"/>
      <c r="F7" s="5"/>
    </row>
    <row r="8" spans="1:6" x14ac:dyDescent="0.3">
      <c r="A8" s="1" t="str">
        <f>Inicio!$E$6</f>
        <v>2025-09</v>
      </c>
      <c r="B8" s="5"/>
      <c r="C8" s="1" t="str">
        <f>IFERROR(INDEX(Catalogos!$A$2:$A$500, MATCH(B8, Catalogos!$B$2:$B$500, 0)), "")</f>
        <v/>
      </c>
      <c r="D8" s="5"/>
      <c r="E8" s="6"/>
      <c r="F8" s="5"/>
    </row>
    <row r="9" spans="1:6" x14ac:dyDescent="0.3">
      <c r="A9" s="1" t="str">
        <f>Inicio!$E$6</f>
        <v>2025-09</v>
      </c>
      <c r="B9" s="5"/>
      <c r="C9" s="1" t="str">
        <f>IFERROR(INDEX(Catalogos!$A$2:$A$500, MATCH(B9, Catalogos!$B$2:$B$500, 0)), "")</f>
        <v/>
      </c>
      <c r="D9" s="5"/>
      <c r="E9" s="6"/>
      <c r="F9" s="5"/>
    </row>
    <row r="10" spans="1:6" x14ac:dyDescent="0.3">
      <c r="A10" s="1" t="str">
        <f>Inicio!$E$6</f>
        <v>2025-09</v>
      </c>
      <c r="B10" s="5"/>
      <c r="C10" s="1" t="str">
        <f>IFERROR(INDEX(Catalogos!$A$2:$A$500, MATCH(B10, Catalogos!$B$2:$B$500, 0)), "")</f>
        <v/>
      </c>
      <c r="D10" s="5"/>
      <c r="E10" s="6"/>
      <c r="F10" s="5"/>
    </row>
    <row r="11" spans="1:6" x14ac:dyDescent="0.3">
      <c r="A11" s="1" t="str">
        <f>Inicio!$E$6</f>
        <v>2025-09</v>
      </c>
      <c r="B11" s="5"/>
      <c r="C11" s="1" t="str">
        <f>IFERROR(INDEX(Catalogos!$A$2:$A$500, MATCH(B11, Catalogos!$B$2:$B$500, 0)), "")</f>
        <v/>
      </c>
      <c r="D11" s="5"/>
      <c r="E11" s="6"/>
      <c r="F11" s="5"/>
    </row>
    <row r="12" spans="1:6" x14ac:dyDescent="0.3">
      <c r="A12" s="1" t="str">
        <f>Inicio!$E$6</f>
        <v>2025-09</v>
      </c>
      <c r="B12" s="5"/>
      <c r="C12" s="1" t="str">
        <f>IFERROR(INDEX(Catalogos!$A$2:$A$500, MATCH(B12, Catalogos!$B$2:$B$500, 0)), "")</f>
        <v/>
      </c>
      <c r="D12" s="5"/>
      <c r="E12" s="6"/>
      <c r="F12" s="5"/>
    </row>
    <row r="13" spans="1:6" x14ac:dyDescent="0.3">
      <c r="A13" s="1" t="str">
        <f>Inicio!$E$6</f>
        <v>2025-09</v>
      </c>
      <c r="B13" s="5"/>
      <c r="C13" s="1" t="str">
        <f>IFERROR(INDEX(Catalogos!$A$2:$A$500, MATCH(B13, Catalogos!$B$2:$B$500, 0)), "")</f>
        <v/>
      </c>
      <c r="D13" s="5"/>
      <c r="E13" s="6"/>
      <c r="F13" s="5"/>
    </row>
    <row r="14" spans="1:6" x14ac:dyDescent="0.3">
      <c r="A14" s="1" t="str">
        <f>Inicio!$E$6</f>
        <v>2025-09</v>
      </c>
      <c r="B14" s="5"/>
      <c r="C14" s="1" t="str">
        <f>IFERROR(INDEX(Catalogos!$A$2:$A$500, MATCH(B14, Catalogos!$B$2:$B$500, 0)), "")</f>
        <v/>
      </c>
      <c r="D14" s="5"/>
      <c r="E14" s="6"/>
      <c r="F14" s="5"/>
    </row>
    <row r="15" spans="1:6" x14ac:dyDescent="0.3">
      <c r="A15" s="1" t="str">
        <f>Inicio!$E$6</f>
        <v>2025-09</v>
      </c>
      <c r="B15" s="5"/>
      <c r="C15" s="1" t="str">
        <f>IFERROR(INDEX(Catalogos!$A$2:$A$500, MATCH(B15, Catalogos!$B$2:$B$500, 0)), "")</f>
        <v/>
      </c>
      <c r="D15" s="5"/>
      <c r="E15" s="6"/>
      <c r="F15" s="5"/>
    </row>
    <row r="16" spans="1:6" x14ac:dyDescent="0.3">
      <c r="A16" s="1" t="str">
        <f>Inicio!$E$6</f>
        <v>2025-09</v>
      </c>
      <c r="B16" s="5"/>
      <c r="C16" s="1" t="str">
        <f>IFERROR(INDEX(Catalogos!$A$2:$A$500, MATCH(B16, Catalogos!$B$2:$B$500, 0)), "")</f>
        <v/>
      </c>
      <c r="D16" s="5"/>
      <c r="E16" s="6"/>
      <c r="F16" s="5"/>
    </row>
    <row r="17" spans="1:6" x14ac:dyDescent="0.3">
      <c r="A17" s="1" t="str">
        <f>Inicio!$E$6</f>
        <v>2025-09</v>
      </c>
      <c r="B17" s="5"/>
      <c r="C17" s="1" t="str">
        <f>IFERROR(INDEX(Catalogos!$A$2:$A$500, MATCH(B17, Catalogos!$B$2:$B$500, 0)), "")</f>
        <v/>
      </c>
      <c r="D17" s="5"/>
      <c r="E17" s="6"/>
      <c r="F17" s="5"/>
    </row>
    <row r="18" spans="1:6" x14ac:dyDescent="0.3">
      <c r="A18" s="1" t="str">
        <f>Inicio!$E$6</f>
        <v>2025-09</v>
      </c>
      <c r="B18" s="5"/>
      <c r="C18" s="1" t="str">
        <f>IFERROR(INDEX(Catalogos!$A$2:$A$500, MATCH(B18, Catalogos!$B$2:$B$500, 0)), "")</f>
        <v/>
      </c>
      <c r="D18" s="5"/>
      <c r="E18" s="6"/>
      <c r="F18" s="5"/>
    </row>
    <row r="19" spans="1:6" x14ac:dyDescent="0.3">
      <c r="A19" s="1" t="str">
        <f>Inicio!$E$6</f>
        <v>2025-09</v>
      </c>
      <c r="B19" s="5"/>
      <c r="C19" s="1" t="str">
        <f>IFERROR(INDEX(Catalogos!$A$2:$A$500, MATCH(B19, Catalogos!$B$2:$B$500, 0)), "")</f>
        <v/>
      </c>
      <c r="D19" s="5"/>
      <c r="E19" s="6"/>
      <c r="F19" s="5"/>
    </row>
    <row r="20" spans="1:6" x14ac:dyDescent="0.3">
      <c r="A20" s="1" t="str">
        <f>Inicio!$E$6</f>
        <v>2025-09</v>
      </c>
      <c r="B20" s="5"/>
      <c r="C20" s="1" t="str">
        <f>IFERROR(INDEX(Catalogos!$A$2:$A$500, MATCH(B20, Catalogos!$B$2:$B$500, 0)), "")</f>
        <v/>
      </c>
      <c r="D20" s="5"/>
      <c r="E20" s="6"/>
      <c r="F20" s="5"/>
    </row>
    <row r="21" spans="1:6" x14ac:dyDescent="0.3">
      <c r="A21" s="1" t="str">
        <f>Inicio!$E$6</f>
        <v>2025-09</v>
      </c>
      <c r="B21" s="5"/>
      <c r="C21" s="1" t="str">
        <f>IFERROR(INDEX(Catalogos!$A$2:$A$500, MATCH(B21, Catalogos!$B$2:$B$500, 0)), "")</f>
        <v/>
      </c>
      <c r="D21" s="5"/>
      <c r="E21" s="6"/>
      <c r="F21" s="5"/>
    </row>
    <row r="22" spans="1:6" x14ac:dyDescent="0.3">
      <c r="A22" s="1" t="str">
        <f>Inicio!$E$6</f>
        <v>2025-09</v>
      </c>
      <c r="B22" s="5"/>
      <c r="C22" s="1" t="str">
        <f>IFERROR(INDEX(Catalogos!$A$2:$A$500, MATCH(B22, Catalogos!$B$2:$B$500, 0)), "")</f>
        <v/>
      </c>
      <c r="D22" s="5"/>
      <c r="E22" s="6"/>
      <c r="F22" s="5"/>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5e731a-6451-4f4d-9208-455ae8b8d581">
      <Terms xmlns="http://schemas.microsoft.com/office/infopath/2007/PartnerControls"/>
    </lcf76f155ced4ddcb4097134ff3c332f>
    <TaxCatchAll xmlns="170dbc60-a607-4bc4-969e-425d023d8b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E93914A433BD04A94D36590FD4767A1" ma:contentTypeVersion="10" ma:contentTypeDescription="Crear nuevo documento." ma:contentTypeScope="" ma:versionID="9b57a4f5f14476440b2a523a917a85f5">
  <xsd:schema xmlns:xsd="http://www.w3.org/2001/XMLSchema" xmlns:xs="http://www.w3.org/2001/XMLSchema" xmlns:p="http://schemas.microsoft.com/office/2006/metadata/properties" xmlns:ns2="125e731a-6451-4f4d-9208-455ae8b8d581" xmlns:ns3="170dbc60-a607-4bc4-969e-425d023d8b0d" targetNamespace="http://schemas.microsoft.com/office/2006/metadata/properties" ma:root="true" ma:fieldsID="ed95efe8d5a85408e8cd887bcf28678e" ns2:_="" ns3:_="">
    <xsd:import namespace="125e731a-6451-4f4d-9208-455ae8b8d581"/>
    <xsd:import namespace="170dbc60-a607-4bc4-969e-425d023d8b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5e731a-6451-4f4d-9208-455ae8b8d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0dbc60-a607-4bc4-969e-425d023d8b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3591ea3-c592-457e-abe7-91f3fbe50793}" ma:internalName="TaxCatchAll" ma:showField="CatchAllData" ma:web="170dbc60-a607-4bc4-969e-425d023d8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125e731a-6451-4f4d-9208-455ae8b8d581"/>
    <ds:schemaRef ds:uri="170dbc60-a607-4bc4-969e-425d023d8b0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D34A812D-C267-4A6B-8B53-DB350EDFB0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5e731a-6451-4f4d-9208-455ae8b8d581"/>
    <ds:schemaRef ds:uri="170dbc60-a607-4bc4-969e-425d023d8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0x0101001E93914A433BD04A94D36590FD4767A1</vt:lpwstr>
  </property>
  <property fmtid="{D5CDD505-2E9C-101B-9397-08002B2CF9AE}" pid="3" name="MediaServiceImageTags">
    <vt:lpwstr/>
  </property>
</Properties>
</file>