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DEC10443-7559-41F8-B4D7-D4AABA9A189A}"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3" l="1"/>
  <c r="H13" i="3"/>
  <c r="J13" i="3" s="1"/>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<sst xmlns="http://schemas.openxmlformats.org/spreadsheetml/2006/main" count="122" uniqueCount="82">
  <si>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</si>
  <si>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</si>
  <si>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</si>
  <si>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</si>
  <si>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</si>
  <si>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</si>
  <si>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</si>
  <si>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</si>
  <si>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</si>
  <si>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enero</t>
  </si>
  <si>
    <t>febrero</t>
  </si>
  <si>
    <t>marzo</t>
  </si>
  <si>
    <t>abril</t>
  </si>
  <si>
    <t>mayo</t>
  </si>
  <si>
    <t>junio</t>
  </si>
  <si>
    <t>julio</t>
  </si>
  <si>
    <t>agosto</t>
  </si>
  <si>
    <t>septiembre</t>
  </si>
  <si>
    <t>octubre</t>
  </si>
  <si>
    <t>noviembre</t>
  </si>
  <si>
    <t>diciembre</t>
  </si>
  <si>
    <t>Observaciones</t>
  </si>
  <si>
    <t>Proveedor</t>
  </si>
  <si>
    <t>Coste_Pendiente</t>
  </si>
  <si>
    <t>02.01.COSTES IND</t>
  </si>
  <si>
    <t>Proyecto</t>
  </si>
  <si>
    <t>Empresa</t>
  </si>
  <si>
    <t>Resto de Produccion</t>
  </si>
  <si>
    <t>Certificación pendiente  y PDC</t>
  </si>
  <si>
    <t>UTE FASE II LIBRILLA</t>
  </si>
  <si>
    <t>PROY-00001</t>
  </si>
  <si>
    <t>01.01</t>
  </si>
  <si>
    <t>01.02</t>
  </si>
  <si>
    <t>01.03</t>
  </si>
  <si>
    <t>01.04</t>
  </si>
  <si>
    <t>01.05</t>
  </si>
  <si>
    <t>01.06</t>
  </si>
  <si>
    <t>01.07</t>
  </si>
  <si>
    <t>01.08</t>
  </si>
  <si>
    <t>01.09</t>
  </si>
  <si>
    <t>01.10</t>
  </si>
  <si>
    <t>01.11</t>
  </si>
  <si>
    <t>01.12</t>
  </si>
  <si>
    <t>02.01</t>
  </si>
  <si>
    <t>01.01.DEMOLICIONES</t>
  </si>
  <si>
    <t>01.02.EXCAVACIONES</t>
  </si>
  <si>
    <t>01.03.CIMENTACION</t>
  </si>
  <si>
    <t>01.04.DRENAJE</t>
  </si>
  <si>
    <t>01.05.SEÑALIZACION</t>
  </si>
  <si>
    <t>01.06.SERVICIOS AFCT</t>
  </si>
  <si>
    <t>01.07.OBRAS COMPL</t>
  </si>
  <si>
    <t>01.08.RESTAURACION</t>
  </si>
  <si>
    <t>01.09.LIMPIEZA</t>
  </si>
  <si>
    <t>01.10.SOLUCIONES</t>
  </si>
  <si>
    <t>01.11.RESIDUOS</t>
  </si>
  <si>
    <t>01.12.SYS</t>
  </si>
  <si>
    <t>Certificado por adelantado</t>
  </si>
  <si>
    <t>Estimado Agosto-25- CI</t>
  </si>
  <si>
    <t>Estimado Septiembre-25 - CI</t>
  </si>
  <si>
    <t>Abesan</t>
  </si>
  <si>
    <t>Aquavip</t>
  </si>
  <si>
    <t>Granate</t>
  </si>
  <si>
    <t>A cargo del contratista</t>
  </si>
  <si>
    <t>Galindo Rent</t>
  </si>
  <si>
    <t>Basalto</t>
  </si>
  <si>
    <t>JLP</t>
  </si>
  <si>
    <t>Excaycon</t>
  </si>
  <si>
    <t>Alvac</t>
  </si>
  <si>
    <t>Firmada pero no aparece la factura en POWER BI</t>
  </si>
  <si>
    <t>Pilotes Mengibal</t>
  </si>
  <si>
    <t>Limpiezas el Puntarron</t>
  </si>
  <si>
    <t>ITC</t>
  </si>
  <si>
    <t>CERTIFICACIÓN Nº5</t>
  </si>
  <si>
    <t>CERTIFICACIÓN Nº4</t>
  </si>
  <si>
    <t>CERTIFICACIÓN Nº3</t>
  </si>
  <si>
    <t>Ajuste por producción Certificación nº5</t>
  </si>
  <si>
    <t>Urdecon 1</t>
  </si>
  <si>
    <t>Urdecon 2</t>
  </si>
  <si>
    <t>Tasas D.O. DEMARCACIÓN (4%) 1</t>
  </si>
  <si>
    <t>Tasas D.O. DEMARCACIÓN (4%) 2</t>
  </si>
  <si>
    <t>Tasas D.O. DEMARCACIÓN (4%) 3</t>
  </si>
  <si>
    <t>Tasas D.O. DEMARCACIÓN (4%)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</si>
</sst>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1">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4" fontId="0" fillId="0" borderId="0" xfId="0" applyNumberFormat="1"/>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showGridLines="0" workbookViewId="0">
      <pane ySplit="5" topLeftCell="A6" activePane="bottomLeft" state="frozen"/>
      <selection pane="bottomLeft" activeCell="G14" sqref="G14"/>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7" t="s">
        <v>0</v>
      </c>
      <c r="B1" s="16"/>
      <c r="C1" s="16"/>
      <c r="D1" s="16"/>
      <c r="E1" s="16"/>
      <c r="F1" s="16"/>
    </row>
    <row r="3" spans="1:6" x14ac:dyDescent="0.3">
      <c r="A3" s="15" t="s">
        <v>1</v>
      </c>
      <c r="B3" s="16"/>
      <c r="C3" s="16"/>
      <c r="D3" s="16"/>
      <c r="E3" s="16"/>
      <c r="F3" s="16"/>
    </row>
    <row r="4" spans="1:6" ht="106.2" customHeight="1" x14ac:dyDescent="0.3">
      <c r="A4" s="18" t="s">
        <v>2</v>
      </c>
      <c r="B4" s="19"/>
      <c r="C4" s="19"/>
      <c r="D4" s="19"/>
      <c r="E4" s="19"/>
      <c r="F4" s="20"/>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17</v>
      </c>
      <c r="D7" s="12" t="s">
        <v>26</v>
      </c>
      <c r="E7" s="1" t="s">
        <v>29</v>
      </c>
    </row>
    <row r="8" spans="1:6" ht="15" thickBot="1" x14ac:dyDescent="0.35">
      <c r="A8" s="10" t="s">
        <v>25</v>
      </c>
      <c r="B8" s="11" t="s">
        <v>30</v>
      </c>
    </row>
  </sheetData>
  <sheetProtection algorithmName="SHA-512" hashValue="lxaI3Tnlo7QxE3WfhU0wgOO0U3TZ6Gy1y2rNRMSTya7IGKaTjZfJ7KkYV5ZLjLmasodBfTEAwA8QUu3RfVsw2g==" saltValue="E3skbCRlNiMkg5iM/G9cR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workbookViewId="0">
      <selection activeCell="G7" sqref="G7"/>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31</v>
      </c>
      <c r="B2" s="9" t="s">
        <v>44</v>
      </c>
      <c r="D2" t="s">
        <v>9</v>
      </c>
    </row>
    <row r="3" spans="1:4" x14ac:dyDescent="0.3">
      <c r="A3" s="9" t="s">
        <v>32</v>
      </c>
      <c r="B3" s="9" t="s">
        <v>45</v>
      </c>
      <c r="D3" t="s">
        <v>10</v>
      </c>
    </row>
    <row r="4" spans="1:4" x14ac:dyDescent="0.3">
      <c r="A4" s="9" t="s">
        <v>33</v>
      </c>
      <c r="B4" s="9" t="s">
        <v>46</v>
      </c>
      <c r="D4" t="s">
        <v>11</v>
      </c>
    </row>
    <row r="5" spans="1:4" x14ac:dyDescent="0.3">
      <c r="A5" s="9" t="s">
        <v>34</v>
      </c>
      <c r="B5" s="9" t="s">
        <v>47</v>
      </c>
      <c r="D5" t="s">
        <v>12</v>
      </c>
    </row>
    <row r="6" spans="1:4" x14ac:dyDescent="0.3">
      <c r="A6" s="9" t="s">
        <v>35</v>
      </c>
      <c r="B6" s="9" t="s">
        <v>48</v>
      </c>
      <c r="D6" t="s">
        <v>13</v>
      </c>
    </row>
    <row r="7" spans="1:4" x14ac:dyDescent="0.3">
      <c r="A7" s="9" t="s">
        <v>36</v>
      </c>
      <c r="B7" s="9" t="s">
        <v>49</v>
      </c>
      <c r="D7" t="s">
        <v>14</v>
      </c>
    </row>
    <row r="8" spans="1:4" x14ac:dyDescent="0.3">
      <c r="A8" s="9" t="s">
        <v>37</v>
      </c>
      <c r="B8" s="9" t="s">
        <v>50</v>
      </c>
      <c r="D8" t="s">
        <v>15</v>
      </c>
    </row>
    <row r="9" spans="1:4" x14ac:dyDescent="0.3">
      <c r="A9" s="9" t="s">
        <v>38</v>
      </c>
      <c r="B9" s="9" t="s">
        <v>51</v>
      </c>
      <c r="D9" t="s">
        <v>16</v>
      </c>
    </row>
    <row r="10" spans="1:4" x14ac:dyDescent="0.3">
      <c r="A10" s="9" t="s">
        <v>39</v>
      </c>
      <c r="B10" s="9" t="s">
        <v>52</v>
      </c>
      <c r="D10" t="s">
        <v>17</v>
      </c>
    </row>
    <row r="11" spans="1:4" x14ac:dyDescent="0.3">
      <c r="A11" s="9" t="s">
        <v>40</v>
      </c>
      <c r="B11" s="9" t="s">
        <v>53</v>
      </c>
      <c r="D11" t="s">
        <v>18</v>
      </c>
    </row>
    <row r="12" spans="1:4" x14ac:dyDescent="0.3">
      <c r="A12" s="9" t="s">
        <v>41</v>
      </c>
      <c r="B12" s="9" t="s">
        <v>54</v>
      </c>
      <c r="D12" t="s">
        <v>19</v>
      </c>
    </row>
    <row r="13" spans="1:4" x14ac:dyDescent="0.3">
      <c r="A13" s="9" t="s">
        <v>42</v>
      </c>
      <c r="B13" s="9" t="s">
        <v>55</v>
      </c>
      <c r="D13" t="s">
        <v>20</v>
      </c>
    </row>
    <row r="14" spans="1:4" x14ac:dyDescent="0.3">
      <c r="A14" s="9" t="s">
        <v>43</v>
      </c>
      <c r="B14" s="9" t="s">
        <v>24</v>
      </c>
    </row>
    <row r="15" spans="1:4" x14ac:dyDescent="0.3">
      <c r="A15" s="9"/>
    </row>
    <row r="16" spans="1:4" x14ac:dyDescent="0.3">
      <c r="A16" s="9"/>
    </row>
    <row r="17" spans="1:1" x14ac:dyDescent="0.3">
      <c r="A17" s="9"/>
    </row>
    <row r="18" spans="1:1" x14ac:dyDescent="0.3">
      <c r="A18" s="9"/>
    </row>
    <row r="19" spans="1:1" x14ac:dyDescent="0.3">
      <c r="A19" s="9"/>
    </row>
    <row r="20" spans="1:1" x14ac:dyDescent="0.3">
      <c r="A20" s="9"/>
    </row>
    <row r="21" spans="1:1" x14ac:dyDescent="0.3">
      <c r="A21" s="9"/>
    </row>
    <row r="22" spans="1:1" x14ac:dyDescent="0.3">
      <c r="A22" s="9"/>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tabSelected="1" workbookViewId="0">
      <pane ySplit="1" topLeftCell="A2" activePane="bottomLeft" state="frozen"/>
      <selection pane="bottomLeft" activeCell="D2" sqref="D2:D13"/>
    </sheetView>
  </sheetViews>
  <sheetFormatPr baseColWidth="10" defaultColWidth="8.88671875" defaultRowHeight="14.4" x14ac:dyDescent="0.3"/>
  <cols>
    <col min="1" max="1" width="9.109375" bestFit="1" customWidth="1"/>
    <col min="2" max="2" width="19.6640625" bestFit="1" customWidth="1"/>
    <col min="3" max="3" width="16.88671875" bestFit="1" customWidth="1"/>
    <col min="4" max="4" width="31.44140625" bestFit="1" customWidth="1"/>
    <col min="5" max="5" width="23.6640625" bestFit="1" customWidth="1"/>
    <col min="6" max="6" width="28" customWidth="1"/>
    <col min="8" max="9" width="10" bestFit="1" customWidth="1"/>
  </cols>
  <sheetData>
    <row r="1" spans="1:10" x14ac:dyDescent="0.3">
      <c r="A1" s="3" t="s">
        <v>5</v>
      </c>
      <c r="B1" s="3" t="s">
        <v>7</v>
      </c>
      <c r="C1" s="3" t="s">
        <v>6</v>
      </c>
      <c r="D1" s="3" t="s">
        <v>28</v>
      </c>
      <c r="E1" s="3" t="s">
        <v>27</v>
      </c>
      <c r="F1" s="3" t="s">
        <v>21</v>
      </c>
    </row>
    <row r="2" spans="1:10" x14ac:dyDescent="0.3">
      <c r="A2" s="1" t="str">
        <f>Inicio!$E$6</f>
        <v>2025-09</v>
      </c>
      <c r="B2" s="13" t="s">
        <v>44</v>
      </c>
      <c r="C2" s="1" t="str">
        <f>IFERROR(INDEX(Catalogos!$A$2:$A$500, MATCH(B2, Catalogos!$B$2:$B$500, 0)), "")</f>
        <v>01.01</v>
      </c>
      <c r="D2" s="8"/>
      <c r="E2" s="8">
        <v>0</v>
      </c>
      <c r="F2" s="7"/>
    </row>
    <row r="3" spans="1:10" x14ac:dyDescent="0.3">
      <c r="A3" s="1" t="str">
        <f>Inicio!$E$6</f>
        <v>2025-09</v>
      </c>
      <c r="B3" s="13" t="s">
        <v>45</v>
      </c>
      <c r="C3" s="1" t="str">
        <f>IFERROR(INDEX(Catalogos!$A$2:$A$500, MATCH(B3, Catalogos!$B$2:$B$500, 0)), "")</f>
        <v>01.02</v>
      </c>
      <c r="D3" s="8"/>
      <c r="E3" s="8">
        <v>0</v>
      </c>
      <c r="F3" s="7"/>
    </row>
    <row r="4" spans="1:10" x14ac:dyDescent="0.3">
      <c r="A4" s="1" t="str">
        <f>Inicio!$E$6</f>
        <v>2025-09</v>
      </c>
      <c r="B4" s="13" t="s">
        <v>46</v>
      </c>
      <c r="C4" s="1" t="str">
        <f>IFERROR(INDEX(Catalogos!$A$2:$A$500, MATCH(B4, Catalogos!$B$2:$B$500, 0)), "")</f>
        <v>01.03</v>
      </c>
      <c r="D4" s="8"/>
      <c r="E4" s="8">
        <v>-80988.559144192506</v>
      </c>
      <c r="F4" s="7" t="s">
        <v>56</v>
      </c>
    </row>
    <row r="5" spans="1:10" x14ac:dyDescent="0.3">
      <c r="A5" s="1" t="str">
        <f>Inicio!$E$6</f>
        <v>2025-09</v>
      </c>
      <c r="B5" s="13" t="s">
        <v>47</v>
      </c>
      <c r="C5" s="1" t="str">
        <f>IFERROR(INDEX(Catalogos!$A$2:$A$500, MATCH(B5, Catalogos!$B$2:$B$500, 0)), "")</f>
        <v>01.04</v>
      </c>
      <c r="D5" s="8"/>
      <c r="E5" s="8">
        <v>0</v>
      </c>
      <c r="F5" s="7"/>
    </row>
    <row r="6" spans="1:10" x14ac:dyDescent="0.3">
      <c r="A6" s="1" t="str">
        <f>Inicio!$E$6</f>
        <v>2025-09</v>
      </c>
      <c r="B6" s="13" t="s">
        <v>48</v>
      </c>
      <c r="C6" s="1" t="str">
        <f>IFERROR(INDEX(Catalogos!$A$2:$A$500, MATCH(B6, Catalogos!$B$2:$B$500, 0)), "")</f>
        <v>01.05</v>
      </c>
      <c r="D6" s="8"/>
      <c r="E6" s="8">
        <v>0</v>
      </c>
      <c r="F6" s="7"/>
    </row>
    <row r="7" spans="1:10" x14ac:dyDescent="0.3">
      <c r="A7" s="1" t="str">
        <f>Inicio!$E$6</f>
        <v>2025-09</v>
      </c>
      <c r="B7" s="13" t="s">
        <v>49</v>
      </c>
      <c r="C7" s="1" t="str">
        <f>IFERROR(INDEX(Catalogos!$A$2:$A$500, MATCH(B7, Catalogos!$B$2:$B$500, 0)), "")</f>
        <v>01.06</v>
      </c>
      <c r="D7" s="8"/>
      <c r="E7" s="8">
        <v>0</v>
      </c>
      <c r="F7" s="7"/>
    </row>
    <row r="8" spans="1:10" x14ac:dyDescent="0.3">
      <c r="A8" s="1" t="str">
        <f>Inicio!$E$6</f>
        <v>2025-09</v>
      </c>
      <c r="B8" s="13" t="s">
        <v>50</v>
      </c>
      <c r="C8" s="1" t="str">
        <f>IFERROR(INDEX(Catalogos!$A$2:$A$500, MATCH(B8, Catalogos!$B$2:$B$500, 0)), "")</f>
        <v>01.07</v>
      </c>
      <c r="D8" s="8"/>
      <c r="E8" s="8">
        <v>0</v>
      </c>
      <c r="F8" s="7"/>
    </row>
    <row r="9" spans="1:10" x14ac:dyDescent="0.3">
      <c r="A9" s="1" t="str">
        <f>Inicio!$E$6</f>
        <v>2025-09</v>
      </c>
      <c r="B9" s="13" t="s">
        <v>51</v>
      </c>
      <c r="C9" s="1" t="str">
        <f>IFERROR(INDEX(Catalogos!$A$2:$A$500, MATCH(B9, Catalogos!$B$2:$B$500, 0)), "")</f>
        <v>01.08</v>
      </c>
      <c r="D9" s="8"/>
      <c r="E9" s="8">
        <v>0</v>
      </c>
      <c r="F9" s="7"/>
    </row>
    <row r="10" spans="1:10" x14ac:dyDescent="0.3">
      <c r="A10" s="1" t="str">
        <f>Inicio!$E$6</f>
        <v>2025-09</v>
      </c>
      <c r="B10" s="13" t="s">
        <v>52</v>
      </c>
      <c r="C10" s="1" t="str">
        <f>IFERROR(INDEX(Catalogos!$A$2:$A$500, MATCH(B10, Catalogos!$B$2:$B$500, 0)), "")</f>
        <v>01.09</v>
      </c>
      <c r="D10" s="8"/>
      <c r="E10" s="8">
        <v>0</v>
      </c>
      <c r="F10" s="7"/>
    </row>
    <row r="11" spans="1:10" x14ac:dyDescent="0.3">
      <c r="A11" s="1" t="str">
        <f>Inicio!$E$6</f>
        <v>2025-09</v>
      </c>
      <c r="B11" s="13" t="s">
        <v>53</v>
      </c>
      <c r="C11" s="1" t="str">
        <f>IFERROR(INDEX(Catalogos!$A$2:$A$500, MATCH(B11, Catalogos!$B$2:$B$500, 0)), "")</f>
        <v>01.10</v>
      </c>
      <c r="D11" s="8"/>
      <c r="E11" s="8">
        <v>0</v>
      </c>
      <c r="F11" s="7"/>
    </row>
    <row r="12" spans="1:10" x14ac:dyDescent="0.3">
      <c r="A12" s="1" t="str">
        <f>Inicio!$E$6</f>
        <v>2025-09</v>
      </c>
      <c r="B12" s="13" t="s">
        <v>54</v>
      </c>
      <c r="C12" s="1" t="str">
        <f>IFERROR(INDEX(Catalogos!$A$2:$A$500, MATCH(B12, Catalogos!$B$2:$B$500, 0)), "")</f>
        <v>01.11</v>
      </c>
      <c r="D12" s="8"/>
      <c r="E12" s="8">
        <v>0</v>
      </c>
      <c r="F12" s="7"/>
      <c r="I12" s="14"/>
    </row>
    <row r="13" spans="1:10" x14ac:dyDescent="0.3">
      <c r="A13" s="1" t="str">
        <f>Inicio!$E$6</f>
        <v>2025-09</v>
      </c>
      <c r="B13" s="13" t="s">
        <v>55</v>
      </c>
      <c r="C13" s="1" t="str">
        <f>IFERROR(INDEX(Catalogos!$A$2:$A$500, MATCH(B13, Catalogos!$B$2:$B$500, 0)), "")</f>
        <v>01.12</v>
      </c>
      <c r="D13" s="8"/>
      <c r="E13" s="8">
        <v>0</v>
      </c>
      <c r="F13" s="7"/>
      <c r="H13" s="14">
        <f>+SUM(D2:D13)</f>
        <v>0</v>
      </c>
      <c r="I13" s="14">
        <f>+SUM(E2:E13)</f>
        <v>-80988.559144192506</v>
      </c>
      <c r="J13" s="14">
        <f>+H13+I13</f>
        <v>-80988.559144192506</v>
      </c>
    </row>
    <row r="14" spans="1:10" x14ac:dyDescent="0.3">
      <c r="A14" s="1" t="str">
        <f>Inicio!$E$6</f>
        <v>2025-09</v>
      </c>
      <c r="B14" s="13"/>
      <c r="C14" s="1" t="str">
        <f>IFERROR(INDEX(Catalogos!$A$2:$A$500, MATCH(B14, Catalogos!$B$2:$B$500, 0)), "")</f>
        <v/>
      </c>
      <c r="D14" s="8"/>
      <c r="E14" s="8"/>
      <c r="F14" s="7"/>
    </row>
    <row r="15" spans="1:10" x14ac:dyDescent="0.3">
      <c r="A15" s="1" t="str">
        <f>Inicio!$E$6</f>
        <v>2025-09</v>
      </c>
      <c r="B15" s="13"/>
      <c r="C15" s="1" t="str">
        <f>IFERROR(INDEX(Catalogos!$A$2:$A$500, MATCH(B15, Catalogos!$B$2:$B$500, 0)), "")</f>
        <v/>
      </c>
      <c r="D15" s="8"/>
      <c r="E15" s="8"/>
      <c r="F15" s="7"/>
    </row>
    <row r="16" spans="1:10" x14ac:dyDescent="0.3">
      <c r="A16" s="1" t="str">
        <f>Inicio!$E$6</f>
        <v>2025-09</v>
      </c>
      <c r="B16" s="13"/>
      <c r="C16" s="1" t="str">
        <f>IFERROR(INDEX(Catalogos!$A$2:$A$500, MATCH(B16, Catalogos!$B$2:$B$500, 0)), "")</f>
        <v/>
      </c>
      <c r="D16" s="8"/>
      <c r="E16" s="8"/>
      <c r="F16" s="7"/>
    </row>
    <row r="17" spans="1:6" x14ac:dyDescent="0.3">
      <c r="A17" s="1" t="str">
        <f>Inicio!$E$6</f>
        <v>2025-09</v>
      </c>
      <c r="B17" s="13"/>
      <c r="C17" s="1" t="str">
        <f>IFERROR(INDEX(Catalogos!$A$2:$A$500, MATCH(B17, Catalogos!$B$2:$B$500, 0)), "")</f>
        <v/>
      </c>
      <c r="D17" s="8"/>
      <c r="E17" s="8"/>
      <c r="F17" s="7"/>
    </row>
    <row r="18" spans="1:6" x14ac:dyDescent="0.3">
      <c r="A18" s="1" t="str">
        <f>Inicio!$E$6</f>
        <v>2025-09</v>
      </c>
      <c r="B18" s="13"/>
      <c r="C18" s="1" t="str">
        <f>IFERROR(INDEX(Catalogos!$A$2:$A$500, MATCH(B18, Catalogos!$B$2:$B$500, 0)), "")</f>
        <v/>
      </c>
      <c r="D18" s="8"/>
      <c r="E18" s="8"/>
      <c r="F18" s="7"/>
    </row>
    <row r="19" spans="1:6" x14ac:dyDescent="0.3">
      <c r="A19" s="1" t="str">
        <f>Inicio!$E$6</f>
        <v>2025-09</v>
      </c>
      <c r="B19" s="13"/>
      <c r="C19" s="1" t="str">
        <f>IFERROR(INDEX(Catalogos!$A$2:$A$500, MATCH(B19, Catalogos!$B$2:$B$500, 0)), "")</f>
        <v/>
      </c>
      <c r="D19" s="8"/>
      <c r="E19" s="8"/>
      <c r="F19" s="7"/>
    </row>
    <row r="20" spans="1:6" x14ac:dyDescent="0.3">
      <c r="A20" s="1" t="str">
        <f>Inicio!$E$6</f>
        <v>2025-09</v>
      </c>
      <c r="B20" s="13"/>
      <c r="C20" s="1" t="str">
        <f>IFERROR(INDEX(Catalogos!$A$2:$A$500, MATCH(B20, Catalogos!$B$2:$B$500, 0)), "")</f>
        <v/>
      </c>
      <c r="D20" s="8"/>
      <c r="E20" s="8"/>
      <c r="F20" s="7"/>
    </row>
    <row r="21" spans="1:6" x14ac:dyDescent="0.3">
      <c r="A21" s="1" t="str">
        <f>Inicio!$E$6</f>
        <v>2025-09</v>
      </c>
      <c r="B21" s="13"/>
      <c r="C21" s="1" t="str">
        <f>IFERROR(INDEX(Catalogos!$A$2:$A$500, MATCH(B21, Catalogos!$B$2:$B$500, 0)), "")</f>
        <v/>
      </c>
      <c r="D21" s="8"/>
      <c r="E21" s="8"/>
      <c r="F21" s="7"/>
    </row>
    <row r="22" spans="1:6" x14ac:dyDescent="0.3">
      <c r="A22" s="1" t="str">
        <f>Inicio!$E$6</f>
        <v>2025-09</v>
      </c>
      <c r="B22" s="13"/>
      <c r="C22" s="1" t="str">
        <f>IFERROR(INDEX(Catalogos!$A$2:$A$500, MATCH(B22, Catalogos!$B$2:$B$500, 0)), "")</f>
        <v/>
      </c>
      <c r="D22" s="8"/>
      <c r="E22" s="8"/>
      <c r="F22" s="7"/>
    </row>
    <row r="23" spans="1:6" x14ac:dyDescent="0.3">
      <c r="A23" s="1" t="str">
        <f>Inicio!$E$6</f>
        <v>2025-09</v>
      </c>
      <c r="B23" s="13"/>
      <c r="C23" s="1" t="str">
        <f>IFERROR(INDEX(Catalogos!$A$2:$A$500, MATCH(B23, Catalogos!$B$2:$B$500, 0)), "")</f>
        <v/>
      </c>
      <c r="D23" s="8"/>
      <c r="E23" s="8"/>
      <c r="F23" s="7"/>
    </row>
    <row r="24" spans="1:6" x14ac:dyDescent="0.3">
      <c r="A24" s="1" t="str">
        <f>Inicio!$E$6</f>
        <v>2025-09</v>
      </c>
      <c r="B24" s="13"/>
      <c r="C24" s="1" t="str">
        <f>IFERROR(INDEX(Catalogos!$A$2:$A$500, MATCH(B24, Catalogos!$B$2:$B$500, 0)), "")</f>
        <v/>
      </c>
      <c r="D24" s="8"/>
      <c r="E24" s="8"/>
      <c r="F24" s="7"/>
    </row>
    <row r="25" spans="1:6" x14ac:dyDescent="0.3">
      <c r="A25" s="1" t="str">
        <f>Inicio!$E$6</f>
        <v>2025-09</v>
      </c>
      <c r="B25" s="13"/>
      <c r="C25" s="1" t="str">
        <f>IFERROR(INDEX(Catalogos!$A$2:$A$500, MATCH(B25, Catalogos!$B$2:$B$500, 0)), "")</f>
        <v/>
      </c>
      <c r="D25" s="8"/>
      <c r="E25" s="8"/>
      <c r="F25" s="7"/>
    </row>
    <row r="26" spans="1:6" x14ac:dyDescent="0.3">
      <c r="A26" s="1" t="str">
        <f>Inicio!$E$6</f>
        <v>2025-09</v>
      </c>
      <c r="B26" s="13"/>
      <c r="C26" s="1" t="str">
        <f>IFERROR(INDEX(Catalogos!$A$2:$A$500, MATCH(B26, Catalogos!$B$2:$B$500, 0)), "")</f>
        <v/>
      </c>
      <c r="D26" s="8"/>
      <c r="E26" s="8"/>
      <c r="F26" s="7"/>
    </row>
    <row r="27" spans="1:6" x14ac:dyDescent="0.3">
      <c r="A27" s="1" t="str">
        <f>Inicio!$E$6</f>
        <v>2025-09</v>
      </c>
      <c r="B27" s="13"/>
      <c r="C27" s="1" t="str">
        <f>IFERROR(INDEX(Catalogos!$A$2:$A$500, MATCH(B27, Catalogos!$B$2:$B$500, 0)), "")</f>
        <v/>
      </c>
      <c r="D27" s="8"/>
      <c r="E27" s="8"/>
      <c r="F27" s="7"/>
    </row>
    <row r="28" spans="1:6" x14ac:dyDescent="0.3">
      <c r="A28" s="1" t="str">
        <f>Inicio!$E$6</f>
        <v>2025-09</v>
      </c>
      <c r="B28" s="13"/>
      <c r="C28" s="1" t="str">
        <f>IFERROR(INDEX(Catalogos!$A$2:$A$500, MATCH(B28, Catalogos!$B$2:$B$500, 0)), "")</f>
        <v/>
      </c>
      <c r="D28" s="8"/>
      <c r="E28" s="8"/>
      <c r="F28" s="7"/>
    </row>
    <row r="29" spans="1:6" x14ac:dyDescent="0.3">
      <c r="A29" s="1" t="str">
        <f>Inicio!$E$6</f>
        <v>2025-09</v>
      </c>
      <c r="B29" s="13"/>
      <c r="C29" s="1" t="str">
        <f>IFERROR(INDEX(Catalogos!$A$2:$A$500, MATCH(B29, Catalogos!$B$2:$B$500, 0)), "")</f>
        <v/>
      </c>
      <c r="D29" s="8"/>
      <c r="E29" s="8"/>
      <c r="F29" s="7"/>
    </row>
    <row r="30" spans="1:6" x14ac:dyDescent="0.3">
      <c r="A30" s="1" t="str">
        <f>Inicio!$E$6</f>
        <v>2025-09</v>
      </c>
      <c r="B30" s="13"/>
      <c r="C30" s="1" t="str">
        <f>IFERROR(INDEX(Catalogos!$A$2:$A$500, MATCH(B30, Catalogos!$B$2:$B$500, 0)), "")</f>
        <v/>
      </c>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K18" sqref="K18"/>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22</v>
      </c>
      <c r="E1" s="3" t="s">
        <v>23</v>
      </c>
      <c r="F1" s="3" t="s">
        <v>21</v>
      </c>
    </row>
    <row r="2" spans="1:6" x14ac:dyDescent="0.3">
      <c r="A2" s="1" t="str">
        <f>Inicio!$E$6</f>
        <v>2025-09</v>
      </c>
      <c r="B2" s="7" t="s">
        <v>24</v>
      </c>
      <c r="C2" s="1" t="str">
        <f>IFERROR(INDEX(Catalogos!$A$2:$A$500, MATCH(B2, Catalogos!$B$2:$B$500, 0)), "")</f>
        <v>02.01</v>
      </c>
      <c r="D2" s="7" t="s">
        <v>76</v>
      </c>
      <c r="E2" s="8">
        <v>8150</v>
      </c>
      <c r="F2" s="7" t="s">
        <v>57</v>
      </c>
    </row>
    <row r="3" spans="1:6" x14ac:dyDescent="0.3">
      <c r="A3" s="1" t="str">
        <f>Inicio!$E$6</f>
        <v>2025-09</v>
      </c>
      <c r="B3" s="7" t="s">
        <v>24</v>
      </c>
      <c r="C3" s="1" t="str">
        <f>IFERROR(INDEX(Catalogos!$A$2:$A$500, MATCH(B3, Catalogos!$B$2:$B$500, 0)), "")</f>
        <v>02.01</v>
      </c>
      <c r="D3" s="7" t="s">
        <v>77</v>
      </c>
      <c r="E3" s="8">
        <v>19200</v>
      </c>
      <c r="F3" s="7" t="s">
        <v>58</v>
      </c>
    </row>
    <row r="4" spans="1:6" x14ac:dyDescent="0.3">
      <c r="A4" s="1" t="str">
        <f>Inicio!$E$6</f>
        <v>2025-09</v>
      </c>
      <c r="B4" s="7" t="s">
        <v>55</v>
      </c>
      <c r="C4" s="1" t="str">
        <f>IFERROR(INDEX(Catalogos!$A$2:$A$500, MATCH(B4, Catalogos!$B$2:$B$500, 0)), "")</f>
        <v>01.12</v>
      </c>
      <c r="D4" s="7" t="s">
        <v>59</v>
      </c>
      <c r="E4" s="8">
        <v>230.94</v>
      </c>
      <c r="F4" s="7" t="s">
        <v>68</v>
      </c>
    </row>
    <row r="5" spans="1:6" x14ac:dyDescent="0.3">
      <c r="A5" s="1" t="str">
        <f>Inicio!$E$6</f>
        <v>2025-09</v>
      </c>
      <c r="B5" s="7" t="s">
        <v>24</v>
      </c>
      <c r="C5" s="1" t="str">
        <f>IFERROR(INDEX(Catalogos!$A$2:$A$500, MATCH(B5, Catalogos!$B$2:$B$500, 0)), "")</f>
        <v>02.01</v>
      </c>
      <c r="D5" s="7" t="s">
        <v>60</v>
      </c>
      <c r="E5" s="8">
        <v>200</v>
      </c>
      <c r="F5" s="7"/>
    </row>
    <row r="6" spans="1:6" x14ac:dyDescent="0.3">
      <c r="A6" s="1" t="str">
        <f>Inicio!$E$6</f>
        <v>2025-09</v>
      </c>
      <c r="B6" s="7" t="s">
        <v>24</v>
      </c>
      <c r="C6" s="1" t="str">
        <f>IFERROR(INDEX(Catalogos!$A$2:$A$500, MATCH(B6, Catalogos!$B$2:$B$500, 0)), "")</f>
        <v>02.01</v>
      </c>
      <c r="D6" s="7" t="s">
        <v>61</v>
      </c>
      <c r="E6" s="8">
        <v>1350</v>
      </c>
      <c r="F6" s="7" t="s">
        <v>62</v>
      </c>
    </row>
    <row r="7" spans="1:6" x14ac:dyDescent="0.3">
      <c r="A7" s="1" t="str">
        <f>Inicio!$E$6</f>
        <v>2025-09</v>
      </c>
      <c r="B7" s="7" t="s">
        <v>44</v>
      </c>
      <c r="C7" s="1" t="str">
        <f>IFERROR(INDEX(Catalogos!$A$2:$A$500, MATCH(B7, Catalogos!$B$2:$B$500, 0)), "")</f>
        <v>01.01</v>
      </c>
      <c r="D7" s="7" t="s">
        <v>63</v>
      </c>
      <c r="E7" s="8">
        <v>382</v>
      </c>
      <c r="F7" s="7"/>
    </row>
    <row r="8" spans="1:6" x14ac:dyDescent="0.3">
      <c r="A8" s="1" t="str">
        <f>Inicio!$E$6</f>
        <v>2025-09</v>
      </c>
      <c r="B8" s="7" t="s">
        <v>24</v>
      </c>
      <c r="C8" s="1" t="str">
        <f>IFERROR(INDEX(Catalogos!$A$2:$A$500, MATCH(B8, Catalogos!$B$2:$B$500, 0)), "")</f>
        <v>02.01</v>
      </c>
      <c r="D8" s="7" t="s">
        <v>64</v>
      </c>
      <c r="E8" s="8">
        <v>900</v>
      </c>
      <c r="F8" s="7" t="s">
        <v>62</v>
      </c>
    </row>
    <row r="9" spans="1:6" x14ac:dyDescent="0.3">
      <c r="A9" s="1" t="str">
        <f>Inicio!$E$6</f>
        <v>2025-09</v>
      </c>
      <c r="B9" s="7" t="s">
        <v>55</v>
      </c>
      <c r="C9" s="1" t="str">
        <f>IFERROR(INDEX(Catalogos!$A$2:$A$500, MATCH(B9, Catalogos!$B$2:$B$500, 0)), "")</f>
        <v>01.12</v>
      </c>
      <c r="D9" s="7" t="s">
        <v>65</v>
      </c>
      <c r="E9" s="8">
        <v>162</v>
      </c>
      <c r="F9" s="7"/>
    </row>
    <row r="10" spans="1:6" x14ac:dyDescent="0.3">
      <c r="A10" s="1" t="str">
        <f>Inicio!$E$6</f>
        <v>2025-09</v>
      </c>
      <c r="B10" s="7" t="s">
        <v>46</v>
      </c>
      <c r="C10" s="1" t="str">
        <f>IFERROR(INDEX(Catalogos!$A$2:$A$500, MATCH(B10, Catalogos!$B$2:$B$500, 0)), "")</f>
        <v>01.03</v>
      </c>
      <c r="D10" s="7" t="s">
        <v>66</v>
      </c>
      <c r="E10" s="8">
        <v>6089</v>
      </c>
      <c r="F10" s="7"/>
    </row>
    <row r="11" spans="1:6" x14ac:dyDescent="0.3">
      <c r="A11" s="1" t="str">
        <f>Inicio!$E$6</f>
        <v>2025-09</v>
      </c>
      <c r="B11" s="7" t="s">
        <v>55</v>
      </c>
      <c r="C11" s="1" t="str">
        <f>IFERROR(INDEX(Catalogos!$A$2:$A$500, MATCH(B11, Catalogos!$B$2:$B$500, 0)), "")</f>
        <v>01.12</v>
      </c>
      <c r="D11" s="7" t="s">
        <v>67</v>
      </c>
      <c r="E11" s="8">
        <v>1500</v>
      </c>
      <c r="F11" s="7" t="s">
        <v>68</v>
      </c>
    </row>
    <row r="12" spans="1:6" x14ac:dyDescent="0.3">
      <c r="A12" s="1" t="str">
        <f>Inicio!$E$6</f>
        <v>2025-09</v>
      </c>
      <c r="B12" s="7" t="s">
        <v>46</v>
      </c>
      <c r="C12" s="1" t="str">
        <f>IFERROR(INDEX(Catalogos!$A$2:$A$500, MATCH(B12, Catalogos!$B$2:$B$500, 0)), "")</f>
        <v>01.03</v>
      </c>
      <c r="D12" s="7" t="s">
        <v>69</v>
      </c>
      <c r="E12" s="8">
        <v>5693</v>
      </c>
      <c r="F12" s="7"/>
    </row>
    <row r="13" spans="1:6" x14ac:dyDescent="0.3">
      <c r="A13" s="1" t="str">
        <f>Inicio!$E$6</f>
        <v>2025-09</v>
      </c>
      <c r="B13" s="7" t="s">
        <v>24</v>
      </c>
      <c r="C13" s="1" t="str">
        <f>IFERROR(INDEX(Catalogos!$A$2:$A$500, MATCH(B13, Catalogos!$B$2:$B$500, 0)), "")</f>
        <v>02.01</v>
      </c>
      <c r="D13" s="7" t="s">
        <v>70</v>
      </c>
      <c r="E13" s="8">
        <v>90</v>
      </c>
      <c r="F13" s="7"/>
    </row>
    <row r="14" spans="1:6" x14ac:dyDescent="0.3">
      <c r="A14" s="1" t="str">
        <f>Inicio!$E$6</f>
        <v>2025-09</v>
      </c>
      <c r="B14" s="7" t="s">
        <v>24</v>
      </c>
      <c r="C14" s="1" t="str">
        <f>IFERROR(INDEX(Catalogos!$A$2:$A$500, MATCH(B14, Catalogos!$B$2:$B$500, 0)), "")</f>
        <v>02.01</v>
      </c>
      <c r="D14" s="7" t="s">
        <v>71</v>
      </c>
      <c r="E14" s="8">
        <v>250</v>
      </c>
      <c r="F14" s="7" t="s">
        <v>62</v>
      </c>
    </row>
    <row r="15" spans="1:6" x14ac:dyDescent="0.3">
      <c r="A15" s="1" t="str">
        <f>Inicio!$E$6</f>
        <v>2025-09</v>
      </c>
      <c r="B15" s="7" t="s">
        <v>24</v>
      </c>
      <c r="C15" s="1" t="str">
        <f>IFERROR(INDEX(Catalogos!$A$2:$A$500, MATCH(B15, Catalogos!$B$2:$B$500, 0)), "")</f>
        <v>02.01</v>
      </c>
      <c r="D15" s="7" t="s">
        <v>78</v>
      </c>
      <c r="E15" s="8">
        <v>4581.8100000000004</v>
      </c>
      <c r="F15" s="7" t="s">
        <v>72</v>
      </c>
    </row>
    <row r="16" spans="1:6" x14ac:dyDescent="0.3">
      <c r="A16" s="1" t="str">
        <f>Inicio!$E$6</f>
        <v>2025-09</v>
      </c>
      <c r="B16" s="7" t="s">
        <v>24</v>
      </c>
      <c r="C16" s="1" t="str">
        <f>IFERROR(INDEX(Catalogos!$A$2:$A$500, MATCH(B16, Catalogos!$B$2:$B$500, 0)), "")</f>
        <v>02.01</v>
      </c>
      <c r="D16" s="7" t="s">
        <v>79</v>
      </c>
      <c r="E16" s="8">
        <v>299.44</v>
      </c>
      <c r="F16" s="7" t="s">
        <v>73</v>
      </c>
    </row>
    <row r="17" spans="1:6" x14ac:dyDescent="0.3">
      <c r="A17" s="1" t="str">
        <f>Inicio!$E$6</f>
        <v>2025-09</v>
      </c>
      <c r="B17" s="7" t="s">
        <v>24</v>
      </c>
      <c r="C17" s="1" t="str">
        <f>IFERROR(INDEX(Catalogos!$A$2:$A$500, MATCH(B17, Catalogos!$B$2:$B$500, 0)), "")</f>
        <v>02.01</v>
      </c>
      <c r="D17" s="7" t="s">
        <v>80</v>
      </c>
      <c r="E17" s="8">
        <v>262.43</v>
      </c>
      <c r="F17" s="7" t="s">
        <v>74</v>
      </c>
    </row>
    <row r="18" spans="1:6" x14ac:dyDescent="0.3">
      <c r="A18" s="1" t="str">
        <f>Inicio!$E$6</f>
        <v>2025-09</v>
      </c>
      <c r="B18" s="7" t="s">
        <v>24</v>
      </c>
      <c r="C18" s="1" t="str">
        <f>IFERROR(INDEX(Catalogos!$A$2:$A$500, MATCH(B18, Catalogos!$B$2:$B$500, 0)), "")</f>
        <v>02.01</v>
      </c>
      <c r="D18" s="7" t="s">
        <v>81</v>
      </c>
      <c r="E18" s="8">
        <v>-2722.3</v>
      </c>
      <c r="F18" s="7" t="s">
        <v>75</v>
      </c>
    </row>
    <row r="19" spans="1:6" x14ac:dyDescent="0.3">
      <c r="A19" s="1" t="str">
        <f>Inicio!$E$6</f>
        <v>2025-09</v>
      </c>
      <c r="B19" s="7"/>
      <c r="C19" s="1" t="str">
        <f>IFERROR(INDEX(Catalogos!$A$2:$A$500, MATCH(B19, Catalogos!$B$2:$B$500, 0)), "")</f>
        <v/>
      </c>
      <c r="D19" s="7"/>
      <c r="E19" s="8"/>
      <c r="F19" s="7"/>
    </row>
    <row r="20" spans="1:6" x14ac:dyDescent="0.3">
      <c r="A20" s="1" t="str">
        <f>Inicio!$E$6</f>
        <v>2025-09</v>
      </c>
      <c r="B20" s="7"/>
      <c r="C20" s="1" t="str">
        <f>IFERROR(INDEX(Catalogos!$A$2:$A$500, MATCH(B20, Catalogos!$B$2:$B$500, 0)), "")</f>
        <v/>
      </c>
      <c r="D20" s="7"/>
      <c r="E20" s="8"/>
      <c r="F20" s="7"/>
    </row>
    <row r="21" spans="1:6" x14ac:dyDescent="0.3">
      <c r="A21" s="1" t="str">
        <f>Inicio!$E$6</f>
        <v>2025-09</v>
      </c>
      <c r="B21" s="7"/>
      <c r="C21" s="1" t="str">
        <f>IFERROR(INDEX(Catalogos!$A$2:$A$500, MATCH(B21, Catalogos!$B$2:$B$500, 0)), "")</f>
        <v/>
      </c>
      <c r="D21" s="7"/>
      <c r="E21" s="8"/>
      <c r="F21" s="7"/>
    </row>
    <row r="22" spans="1:6" x14ac:dyDescent="0.3">
      <c r="A22" s="1" t="str">
        <f>Inicio!$E$6</f>
        <v>2025-09</v>
      </c>
      <c r="B22" s="7"/>
      <c r="C22" s="1" t="str">
        <f>IFERROR(INDEX(Catalogos!$A$2:$A$500, MATCH(B22, Catalogos!$B$2:$B$500, 0)), "")</f>
        <v/>
      </c>
      <c r="D22" s="7"/>
      <c r="E22" s="8"/>
      <c r="F22" s="7"/>
    </row>
    <row r="23" spans="1:6" x14ac:dyDescent="0.3">
      <c r="A23" s="1" t="str">
        <f>Inicio!$E$6</f>
        <v>2025-09</v>
      </c>
      <c r="B23" s="7"/>
      <c r="C23" s="1" t="str">
        <f>IFERROR(INDEX(Catalogos!$A$2:$A$500, MATCH(B23, Catalogos!$B$2:$B$500, 0)), "")</f>
        <v/>
      </c>
      <c r="D23" s="7"/>
      <c r="E23" s="8"/>
      <c r="F23" s="7"/>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phoneticPr fontId="4" type="noConversion"/>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2" ma:contentTypeDescription="Crear nuevo documento." ma:contentTypeScope="" ma:versionID="1ec723e9a48c7ad0d4ebae7534cf82b3">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8dde59670b5351c759d696a27f215ae7"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3896567-be6d-4410-886f-26b2c7f2b463}"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Props1.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2.xml><?xml version="1.0" encoding="utf-8"?>
<ds:datastoreItem xmlns:ds="http://schemas.openxmlformats.org/officeDocument/2006/customXml" ds:itemID="{3694C096-44EA-442D-92B2-53652BBF24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a79db32d-80d7-4028-905c-e55e56ee4107"/>
    <ds:schemaRef ds:uri="9b3094cc-99bb-4840-bcec-29d7883b0c0a"/>
    <ds:schemaRef ds:uri="ece8299e-da16-421a-8e38-aea36efe380d"/>
    <ds:schemaRef ds:uri="7ec6d404-ebe5-4d84-8bf7-900b2e667d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