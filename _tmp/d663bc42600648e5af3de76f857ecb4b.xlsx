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816BD983-B88B-4C2F-9A95-8D2C5A44654F}"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<sst xmlns="http://schemas.openxmlformats.org/spreadsheetml/2006/main" count="124" uniqueCount="84">
  <si>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</si>
  <si>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</si>
  <si>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</si>
  <si>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</si>
  <si>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</si>
  <si>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</si>
  <si>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</si>
  <si>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</si>
  <si>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</si>
  <si>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enero</t>
  </si>
  <si>
    <t>febrero</t>
  </si>
  <si>
    <t>marzo</t>
  </si>
  <si>
    <t>abril</t>
  </si>
  <si>
    <t>mayo</t>
  </si>
  <si>
    <t>junio</t>
  </si>
  <si>
    <t>julio</t>
  </si>
  <si>
    <t>agosto</t>
  </si>
  <si>
    <t>septiembre</t>
  </si>
  <si>
    <t>octubre</t>
  </si>
  <si>
    <t>noviembre</t>
  </si>
  <si>
    <t>diciembre</t>
  </si>
  <si>
    <t>Observaciones</t>
  </si>
  <si>
    <t>Proveedor</t>
  </si>
  <si>
    <t>Coste_Pendiente</t>
  </si>
  <si>
    <t>02.01.COSTES IND</t>
  </si>
  <si>
    <t>02.01</t>
  </si>
  <si>
    <t>Proyecto</t>
  </si>
  <si>
    <t>Empresa</t>
  </si>
  <si>
    <t>Construcciones Urdecon S.A.</t>
  </si>
  <si>
    <t>Resto de Produccion</t>
  </si>
  <si>
    <t>Certificación pendiente  y PDC</t>
  </si>
  <si>
    <t>PY_002504</t>
  </si>
  <si>
    <t>01.01.00</t>
  </si>
  <si>
    <t>01.01.01.CUBIERTA</t>
  </si>
  <si>
    <t>01.01.02.CONSERV</t>
  </si>
  <si>
    <t>01.01.03.FACHADA</t>
  </si>
  <si>
    <t>01.01.04.INSTALAC</t>
  </si>
  <si>
    <t>01.01.05.RESIDUOS</t>
  </si>
  <si>
    <t>01.01.06.SYS</t>
  </si>
  <si>
    <t>01.01.07.GGYBI</t>
  </si>
  <si>
    <t>01.01.08.BAJA</t>
  </si>
  <si>
    <t>01.01.99</t>
  </si>
  <si>
    <t>01.02.00</t>
  </si>
  <si>
    <t>01.02.01.CUBIERTA</t>
  </si>
  <si>
    <t>01.02.02.CONSERV</t>
  </si>
  <si>
    <t>01.02.03.FACHADA</t>
  </si>
  <si>
    <t>01.02.04.INSTALAC</t>
  </si>
  <si>
    <t>01.02.05.RESIDUOS</t>
  </si>
  <si>
    <t>01.02.06.SYS</t>
  </si>
  <si>
    <t>01.02.07.GGYBI</t>
  </si>
  <si>
    <t>01.02.08.BAJA</t>
  </si>
  <si>
    <t>01.02.99</t>
  </si>
  <si>
    <t>02.02.GENERALES</t>
  </si>
  <si>
    <t>01.01.99.FINAL BLOQUE A</t>
  </si>
  <si>
    <t>01.01.00.INICIO BLOQUE A</t>
  </si>
  <si>
    <t>01.02.00.INICIO BLOQUE B</t>
  </si>
  <si>
    <t>01.02.99.FINAL BLOQUE B</t>
  </si>
  <si>
    <t>01.01.01</t>
  </si>
  <si>
    <t>01.01.02</t>
  </si>
  <si>
    <t>01.01.03</t>
  </si>
  <si>
    <t>01.01.04</t>
  </si>
  <si>
    <t>01.01.05</t>
  </si>
  <si>
    <t>01.01.06</t>
  </si>
  <si>
    <t>01.01.07</t>
  </si>
  <si>
    <t>01.01.08</t>
  </si>
  <si>
    <t>01.02.01</t>
  </si>
  <si>
    <t>01.02.02</t>
  </si>
  <si>
    <t>01.02.03</t>
  </si>
  <si>
    <t>01.02.04</t>
  </si>
  <si>
    <t>01.02.05</t>
  </si>
  <si>
    <t>01.02.06</t>
  </si>
  <si>
    <t>01.02.07</t>
  </si>
  <si>
    <t>01.02.08</t>
  </si>
  <si>
    <t>02.02</t>
  </si>
  <si>
    <t>GEOTEXTIL</t>
  </si>
  <si>
    <t>TERRAPILLAR</t>
  </si>
  <si>
    <t>LADRILLOS  CERAMICO HUECOS</t>
  </si>
  <si>
    <t>LOSA FILTRON</t>
  </si>
  <si>
    <t xml:space="preserve">PORCELANICO </t>
  </si>
  <si>
    <t>AZULEJOS J RAMOS</t>
  </si>
  <si>
    <t>EKER</t>
  </si>
  <si>
    <t>COQUILLA ELASTOMERICA</t>
  </si>
  <si>
    <t>MONTANTE DE AGUA BLOQUEA</t>
  </si>
  <si>
    <t>liquidacion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</si>
</sst>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13" sqref="B13"/>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17</v>
      </c>
      <c r="D7" s="12" t="s">
        <v>27</v>
      </c>
      <c r="E7" s="1" t="s">
        <v>28</v>
      </c>
    </row>
    <row r="8" spans="1:6" ht="15" thickBot="1" x14ac:dyDescent="0.35">
      <c r="A8" s="10" t="s">
        <v>26</v>
      </c>
      <c r="B8" s="11" t="s">
        <v>31</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F20" sqref="F20"/>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32</v>
      </c>
      <c r="B2" t="s">
        <v>54</v>
      </c>
      <c r="D2" t="s">
        <v>9</v>
      </c>
    </row>
    <row r="3" spans="1:4" x14ac:dyDescent="0.3">
      <c r="A3" s="9" t="s">
        <v>57</v>
      </c>
      <c r="B3" t="s">
        <v>33</v>
      </c>
      <c r="D3" t="s">
        <v>10</v>
      </c>
    </row>
    <row r="4" spans="1:4" x14ac:dyDescent="0.3">
      <c r="A4" s="9" t="s">
        <v>58</v>
      </c>
      <c r="B4" t="s">
        <v>34</v>
      </c>
      <c r="D4" t="s">
        <v>11</v>
      </c>
    </row>
    <row r="5" spans="1:4" x14ac:dyDescent="0.3">
      <c r="A5" s="9" t="s">
        <v>59</v>
      </c>
      <c r="B5" t="s">
        <v>35</v>
      </c>
      <c r="D5" t="s">
        <v>12</v>
      </c>
    </row>
    <row r="6" spans="1:4" x14ac:dyDescent="0.3">
      <c r="A6" s="9" t="s">
        <v>60</v>
      </c>
      <c r="B6" t="s">
        <v>36</v>
      </c>
      <c r="D6" t="s">
        <v>13</v>
      </c>
    </row>
    <row r="7" spans="1:4" x14ac:dyDescent="0.3">
      <c r="A7" s="9" t="s">
        <v>61</v>
      </c>
      <c r="B7" t="s">
        <v>37</v>
      </c>
      <c r="D7" t="s">
        <v>14</v>
      </c>
    </row>
    <row r="8" spans="1:4" x14ac:dyDescent="0.3">
      <c r="A8" s="9" t="s">
        <v>62</v>
      </c>
      <c r="B8" t="s">
        <v>38</v>
      </c>
      <c r="D8" t="s">
        <v>15</v>
      </c>
    </row>
    <row r="9" spans="1:4" x14ac:dyDescent="0.3">
      <c r="A9" s="9" t="s">
        <v>63</v>
      </c>
      <c r="B9" t="s">
        <v>39</v>
      </c>
      <c r="D9" t="s">
        <v>16</v>
      </c>
    </row>
    <row r="10" spans="1:4" x14ac:dyDescent="0.3">
      <c r="A10" s="9" t="s">
        <v>64</v>
      </c>
      <c r="B10" t="s">
        <v>40</v>
      </c>
      <c r="D10" t="s">
        <v>17</v>
      </c>
    </row>
    <row r="11" spans="1:4" x14ac:dyDescent="0.3">
      <c r="A11" s="9" t="s">
        <v>41</v>
      </c>
      <c r="B11" t="s">
        <v>53</v>
      </c>
      <c r="D11" t="s">
        <v>18</v>
      </c>
    </row>
    <row r="12" spans="1:4" x14ac:dyDescent="0.3">
      <c r="A12" s="9" t="s">
        <v>42</v>
      </c>
      <c r="B12" t="s">
        <v>55</v>
      </c>
      <c r="D12" t="s">
        <v>19</v>
      </c>
    </row>
    <row r="13" spans="1:4" x14ac:dyDescent="0.3">
      <c r="A13" s="9" t="s">
        <v>65</v>
      </c>
      <c r="B13" t="s">
        <v>43</v>
      </c>
      <c r="D13" t="s">
        <v>20</v>
      </c>
    </row>
    <row r="14" spans="1:4" x14ac:dyDescent="0.3">
      <c r="A14" s="9" t="s">
        <v>66</v>
      </c>
      <c r="B14" t="s">
        <v>44</v>
      </c>
    </row>
    <row r="15" spans="1:4" x14ac:dyDescent="0.3">
      <c r="A15" s="9" t="s">
        <v>67</v>
      </c>
      <c r="B15" t="s">
        <v>45</v>
      </c>
    </row>
    <row r="16" spans="1:4" x14ac:dyDescent="0.3">
      <c r="A16" s="9" t="s">
        <v>68</v>
      </c>
      <c r="B16" t="s">
        <v>46</v>
      </c>
    </row>
    <row r="17" spans="1:2" x14ac:dyDescent="0.3">
      <c r="A17" s="9" t="s">
        <v>69</v>
      </c>
      <c r="B17" t="s">
        <v>47</v>
      </c>
    </row>
    <row r="18" spans="1:2" x14ac:dyDescent="0.3">
      <c r="A18" s="9" t="s">
        <v>70</v>
      </c>
      <c r="B18" t="s">
        <v>48</v>
      </c>
    </row>
    <row r="19" spans="1:2" x14ac:dyDescent="0.3">
      <c r="A19" s="9" t="s">
        <v>71</v>
      </c>
      <c r="B19" t="s">
        <v>49</v>
      </c>
    </row>
    <row r="20" spans="1:2" x14ac:dyDescent="0.3">
      <c r="A20" s="9" t="s">
        <v>72</v>
      </c>
      <c r="B20" t="s">
        <v>50</v>
      </c>
    </row>
    <row r="21" spans="1:2" x14ac:dyDescent="0.3">
      <c r="A21" s="9" t="s">
        <v>51</v>
      </c>
      <c r="B21" t="s">
        <v>56</v>
      </c>
    </row>
    <row r="22" spans="1:2" x14ac:dyDescent="0.3">
      <c r="A22" s="9" t="s">
        <v>25</v>
      </c>
      <c r="B22" t="s">
        <v>24</v>
      </c>
    </row>
    <row r="23" spans="1:2" x14ac:dyDescent="0.3">
      <c r="A23" s="9" t="s">
        <v>73</v>
      </c>
      <c r="B23" t="s">
        <v>52</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L8" sqref="L8"/>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30</v>
      </c>
      <c r="E1" s="3" t="s">
        <v>29</v>
      </c>
      <c r="F1" s="3" t="s">
        <v>21</v>
      </c>
    </row>
    <row r="2" spans="1:6" x14ac:dyDescent="0.3">
      <c r="A2" s="1" t="str">
        <f>Inicio!$E$6</f>
        <v>2025-09</v>
      </c>
      <c r="B2" t="s">
        <v>54</v>
      </c>
      <c r="C2" s="1" t="str">
        <f>IFERROR(INDEX(Catalogos!$A$2:$A$500, MATCH(B2, Catalogos!$B$2:$B$500, 0)), "")</f>
        <v>01.01.00</v>
      </c>
      <c r="D2" s="8"/>
      <c r="E2" s="8"/>
      <c r="F2" s="7"/>
    </row>
    <row r="3" spans="1:6" x14ac:dyDescent="0.3">
      <c r="A3" s="1" t="str">
        <f>Inicio!$E$6</f>
        <v>2025-09</v>
      </c>
      <c r="B3" t="s">
        <v>33</v>
      </c>
      <c r="C3" s="1" t="str">
        <f>IFERROR(INDEX(Catalogos!$A$2:$A$500, MATCH(B3, Catalogos!$B$2:$B$500, 0)), "")</f>
        <v>01.01.01</v>
      </c>
      <c r="D3" s="8"/>
      <c r="E3" s="8"/>
      <c r="F3" s="7"/>
    </row>
    <row r="4" spans="1:6" x14ac:dyDescent="0.3">
      <c r="A4" s="1" t="str">
        <f>Inicio!$E$6</f>
        <v>2025-09</v>
      </c>
      <c r="B4" t="s">
        <v>34</v>
      </c>
      <c r="C4" s="1" t="str">
        <f>IFERROR(INDEX(Catalogos!$A$2:$A$500, MATCH(B4, Catalogos!$B$2:$B$500, 0)), "")</f>
        <v>01.01.02</v>
      </c>
      <c r="D4" s="8"/>
      <c r="E4" s="8"/>
      <c r="F4" s="7"/>
    </row>
    <row r="5" spans="1:6" x14ac:dyDescent="0.3">
      <c r="A5" s="1" t="str">
        <f>Inicio!$E$6</f>
        <v>2025-09</v>
      </c>
      <c r="B5" t="s">
        <v>35</v>
      </c>
      <c r="C5" s="1" t="str">
        <f>IFERROR(INDEX(Catalogos!$A$2:$A$500, MATCH(B5, Catalogos!$B$2:$B$500, 0)), "")</f>
        <v>01.01.03</v>
      </c>
      <c r="D5" s="8"/>
      <c r="E5" s="8"/>
      <c r="F5" s="7"/>
    </row>
    <row r="6" spans="1:6" x14ac:dyDescent="0.3">
      <c r="A6" s="1" t="str">
        <f>Inicio!$E$6</f>
        <v>2025-09</v>
      </c>
      <c r="B6" t="s">
        <v>36</v>
      </c>
      <c r="C6" s="1" t="str">
        <f>IFERROR(INDEX(Catalogos!$A$2:$A$500, MATCH(B6, Catalogos!$B$2:$B$500, 0)), "")</f>
        <v>01.01.04</v>
      </c>
      <c r="D6" s="8"/>
      <c r="E6" s="8"/>
      <c r="F6" s="7"/>
    </row>
    <row r="7" spans="1:6" x14ac:dyDescent="0.3">
      <c r="A7" s="1" t="str">
        <f>Inicio!$E$6</f>
        <v>2025-09</v>
      </c>
      <c r="B7" t="s">
        <v>37</v>
      </c>
      <c r="C7" s="1" t="str">
        <f>IFERROR(INDEX(Catalogos!$A$2:$A$500, MATCH(B7, Catalogos!$B$2:$B$500, 0)), "")</f>
        <v>01.01.05</v>
      </c>
      <c r="D7" s="8"/>
      <c r="E7" s="8"/>
      <c r="F7" s="7"/>
    </row>
    <row r="8" spans="1:6" x14ac:dyDescent="0.3">
      <c r="A8" s="1" t="str">
        <f>Inicio!$E$6</f>
        <v>2025-09</v>
      </c>
      <c r="B8" t="s">
        <v>38</v>
      </c>
      <c r="C8" s="1" t="str">
        <f>IFERROR(INDEX(Catalogos!$A$2:$A$500, MATCH(B8, Catalogos!$B$2:$B$500, 0)), "")</f>
        <v>01.01.06</v>
      </c>
      <c r="D8" s="8"/>
      <c r="E8" s="8"/>
      <c r="F8" s="7"/>
    </row>
    <row r="9" spans="1:6" x14ac:dyDescent="0.3">
      <c r="A9" s="1" t="str">
        <f>Inicio!$E$6</f>
        <v>2025-09</v>
      </c>
      <c r="B9" t="s">
        <v>39</v>
      </c>
      <c r="C9" s="1" t="str">
        <f>IFERROR(INDEX(Catalogos!$A$2:$A$500, MATCH(B9, Catalogos!$B$2:$B$500, 0)), "")</f>
        <v>01.01.07</v>
      </c>
      <c r="D9" s="8"/>
      <c r="E9" s="8"/>
      <c r="F9" s="7"/>
    </row>
    <row r="10" spans="1:6" x14ac:dyDescent="0.3">
      <c r="A10" s="1" t="str">
        <f>Inicio!$E$6</f>
        <v>2025-09</v>
      </c>
      <c r="B10" t="s">
        <v>40</v>
      </c>
      <c r="C10" s="1" t="str">
        <f>IFERROR(INDEX(Catalogos!$A$2:$A$500, MATCH(B10, Catalogos!$B$2:$B$500, 0)), "")</f>
        <v>01.01.08</v>
      </c>
      <c r="D10" s="8"/>
      <c r="E10" s="8"/>
      <c r="F10" s="7"/>
    </row>
    <row r="11" spans="1:6" x14ac:dyDescent="0.3">
      <c r="A11" s="1" t="str">
        <f>Inicio!$E$6</f>
        <v>2025-09</v>
      </c>
      <c r="B11" t="s">
        <v>53</v>
      </c>
      <c r="C11" s="1" t="str">
        <f>IFERROR(INDEX(Catalogos!$A$2:$A$500, MATCH(B11, Catalogos!$B$2:$B$500, 0)), "")</f>
        <v>01.01.99</v>
      </c>
      <c r="D11" s="8"/>
      <c r="E11" s="8"/>
      <c r="F11" s="7"/>
    </row>
    <row r="12" spans="1:6" x14ac:dyDescent="0.3">
      <c r="A12" s="1" t="str">
        <f>Inicio!$E$6</f>
        <v>2025-09</v>
      </c>
      <c r="B12" t="s">
        <v>55</v>
      </c>
      <c r="C12" s="1" t="str">
        <f>IFERROR(INDEX(Catalogos!$A$2:$A$500, MATCH(B12, Catalogos!$B$2:$B$500, 0)), "")</f>
        <v>01.02.00</v>
      </c>
      <c r="D12" s="8"/>
      <c r="E12" s="8"/>
      <c r="F12" s="7"/>
    </row>
    <row r="13" spans="1:6" x14ac:dyDescent="0.3">
      <c r="A13" s="1" t="str">
        <f>Inicio!$E$6</f>
        <v>2025-09</v>
      </c>
      <c r="B13" t="s">
        <v>43</v>
      </c>
      <c r="C13" s="1" t="str">
        <f>IFERROR(INDEX(Catalogos!$A$2:$A$500, MATCH(B13, Catalogos!$B$2:$B$500, 0)), "")</f>
        <v>01.02.01</v>
      </c>
      <c r="D13" s="8"/>
      <c r="E13" s="8"/>
      <c r="F13" s="7"/>
    </row>
    <row r="14" spans="1:6" x14ac:dyDescent="0.3">
      <c r="A14" s="1" t="str">
        <f>Inicio!$E$6</f>
        <v>2025-09</v>
      </c>
      <c r="B14" t="s">
        <v>44</v>
      </c>
      <c r="C14" s="1" t="str">
        <f>IFERROR(INDEX(Catalogos!$A$2:$A$500, MATCH(B14, Catalogos!$B$2:$B$500, 0)), "")</f>
        <v>01.02.02</v>
      </c>
      <c r="D14" s="8"/>
      <c r="E14" s="8"/>
      <c r="F14" s="7"/>
    </row>
    <row r="15" spans="1:6" x14ac:dyDescent="0.3">
      <c r="A15" s="1" t="str">
        <f>Inicio!$E$6</f>
        <v>2025-09</v>
      </c>
      <c r="B15" t="s">
        <v>45</v>
      </c>
      <c r="C15" s="1" t="str">
        <f>IFERROR(INDEX(Catalogos!$A$2:$A$500, MATCH(B15, Catalogos!$B$2:$B$500, 0)), "")</f>
        <v>01.02.03</v>
      </c>
      <c r="D15" s="8"/>
      <c r="E15" s="8"/>
      <c r="F15" s="7"/>
    </row>
    <row r="16" spans="1:6" x14ac:dyDescent="0.3">
      <c r="A16" s="1" t="str">
        <f>Inicio!$E$6</f>
        <v>2025-09</v>
      </c>
      <c r="B16" t="s">
        <v>46</v>
      </c>
      <c r="C16" s="1" t="str">
        <f>IFERROR(INDEX(Catalogos!$A$2:$A$500, MATCH(B16, Catalogos!$B$2:$B$500, 0)), "")</f>
        <v>01.02.04</v>
      </c>
      <c r="D16" s="8"/>
      <c r="E16" s="8"/>
      <c r="F16" s="7"/>
    </row>
    <row r="17" spans="1:6" x14ac:dyDescent="0.3">
      <c r="A17" s="1" t="str">
        <f>Inicio!$E$6</f>
        <v>2025-09</v>
      </c>
      <c r="B17" t="s">
        <v>47</v>
      </c>
      <c r="C17" s="1" t="str">
        <f>IFERROR(INDEX(Catalogos!$A$2:$A$500, MATCH(B17, Catalogos!$B$2:$B$500, 0)), "")</f>
        <v>01.02.05</v>
      </c>
      <c r="D17" s="8"/>
      <c r="E17" s="8"/>
      <c r="F17" s="7"/>
    </row>
    <row r="18" spans="1:6" x14ac:dyDescent="0.3">
      <c r="A18" s="1" t="str">
        <f>Inicio!$E$6</f>
        <v>2025-09</v>
      </c>
      <c r="B18" t="s">
        <v>48</v>
      </c>
      <c r="C18" s="1" t="str">
        <f>IFERROR(INDEX(Catalogos!$A$2:$A$500, MATCH(B18, Catalogos!$B$2:$B$500, 0)), "")</f>
        <v>01.02.06</v>
      </c>
      <c r="D18" s="8"/>
      <c r="E18" s="8"/>
      <c r="F18" s="7"/>
    </row>
    <row r="19" spans="1:6" x14ac:dyDescent="0.3">
      <c r="A19" s="1" t="str">
        <f>Inicio!$E$6</f>
        <v>2025-09</v>
      </c>
      <c r="B19" t="s">
        <v>49</v>
      </c>
      <c r="C19" s="1" t="str">
        <f>IFERROR(INDEX(Catalogos!$A$2:$A$500, MATCH(B19, Catalogos!$B$2:$B$500, 0)), "")</f>
        <v>01.02.07</v>
      </c>
      <c r="D19" s="8"/>
      <c r="E19" s="8"/>
      <c r="F19" s="7"/>
    </row>
    <row r="20" spans="1:6" x14ac:dyDescent="0.3">
      <c r="A20" s="1" t="str">
        <f>Inicio!$E$6</f>
        <v>2025-09</v>
      </c>
      <c r="B20" t="s">
        <v>50</v>
      </c>
      <c r="C20" s="1" t="str">
        <f>IFERROR(INDEX(Catalogos!$A$2:$A$500, MATCH(B20, Catalogos!$B$2:$B$500, 0)), "")</f>
        <v>01.02.08</v>
      </c>
      <c r="D20" s="8"/>
      <c r="E20" s="8"/>
      <c r="F20" s="7"/>
    </row>
    <row r="21" spans="1:6" x14ac:dyDescent="0.3">
      <c r="A21" s="1" t="str">
        <f>Inicio!$E$6</f>
        <v>2025-09</v>
      </c>
      <c r="B21" t="s">
        <v>56</v>
      </c>
      <c r="C21" s="1" t="str">
        <f>IFERROR(INDEX(Catalogos!$A$2:$A$500, MATCH(B21, Catalogos!$B$2:$B$500, 0)), "")</f>
        <v>01.02.99</v>
      </c>
      <c r="D21" s="8"/>
      <c r="E21" s="8"/>
      <c r="F21" s="7"/>
    </row>
    <row r="22" spans="1:6" x14ac:dyDescent="0.3">
      <c r="A22" s="1" t="str">
        <f>Inicio!$E$6</f>
        <v>2025-09</v>
      </c>
      <c r="B22" t="s">
        <v>24</v>
      </c>
      <c r="C22" s="1" t="str">
        <f>IFERROR(INDEX(Catalogos!$A$2:$A$500, MATCH(B22, Catalogos!$B$2:$B$500, 0)), "")</f>
        <v>02.01</v>
      </c>
      <c r="D22" s="8"/>
      <c r="E22" s="8"/>
      <c r="F22" s="7"/>
    </row>
    <row r="23" spans="1:6" x14ac:dyDescent="0.3">
      <c r="A23" s="1" t="str">
        <f>Inicio!$E$6</f>
        <v>2025-09</v>
      </c>
      <c r="B23" t="s">
        <v>52</v>
      </c>
      <c r="C23" s="1" t="str">
        <f>IFERROR(INDEX(Catalogos!$A$2:$A$500, MATCH(B23, Catalogos!$B$2:$B$500, 0)), "")</f>
        <v>02.02</v>
      </c>
      <c r="D23" s="8"/>
      <c r="E23" s="8"/>
      <c r="F23" s="7"/>
    </row>
    <row r="24" spans="1:6" x14ac:dyDescent="0.3">
      <c r="A24" s="1" t="str">
        <f>Inicio!$E$6</f>
        <v>2025-09</v>
      </c>
      <c r="B24" s="13"/>
      <c r="C24" s="1" t="str">
        <f>IFERROR(INDEX(Catalogos!$A$2:$A$500, MATCH(B24, Catalogos!$B$2:$B$500, 0)), "")</f>
        <v/>
      </c>
      <c r="D24" s="8"/>
      <c r="E24" s="8"/>
      <c r="F24" s="7"/>
    </row>
    <row r="25" spans="1:6" x14ac:dyDescent="0.3">
      <c r="A25" s="1" t="str">
        <f>Inicio!$E$6</f>
        <v>2025-09</v>
      </c>
      <c r="B25" s="13"/>
      <c r="C25" s="1" t="str">
        <f>IFERROR(INDEX(Catalogos!$A$2:$A$500, MATCH(B25, Catalogos!$B$2:$B$500, 0)), "")</f>
        <v/>
      </c>
      <c r="D25" s="8"/>
      <c r="E25" s="8"/>
      <c r="F25" s="7"/>
    </row>
    <row r="26" spans="1:6" x14ac:dyDescent="0.3">
      <c r="A26" s="1" t="str">
        <f>Inicio!$E$6</f>
        <v>2025-09</v>
      </c>
      <c r="B26" s="13"/>
      <c r="C26" s="1" t="str">
        <f>IFERROR(INDEX(Catalogos!$A$2:$A$500, MATCH(B26, Catalogos!$B$2:$B$500, 0)), "")</f>
        <v/>
      </c>
      <c r="D26" s="8"/>
      <c r="E26" s="8"/>
      <c r="F26" s="7"/>
    </row>
    <row r="27" spans="1:6" x14ac:dyDescent="0.3">
      <c r="A27" s="1" t="str">
        <f>Inicio!$E$6</f>
        <v>2025-09</v>
      </c>
      <c r="B27" s="13"/>
      <c r="C27" s="1" t="str">
        <f>IFERROR(INDEX(Catalogos!$A$2:$A$500, MATCH(B27, Catalogos!$B$2:$B$500, 0)), "")</f>
        <v/>
      </c>
      <c r="D27" s="8"/>
      <c r="E27" s="8"/>
      <c r="F27" s="7"/>
    </row>
    <row r="28" spans="1:6" x14ac:dyDescent="0.3">
      <c r="A28" s="1" t="str">
        <f>Inicio!$E$6</f>
        <v>2025-09</v>
      </c>
      <c r="B28" s="13"/>
      <c r="C28" s="1" t="str">
        <f>IFERROR(INDEX(Catalogos!$A$2:$A$500, MATCH(B28, Catalogos!$B$2:$B$500, 0)), "")</f>
        <v/>
      </c>
      <c r="D28" s="8"/>
      <c r="E28" s="8"/>
      <c r="F28" s="7"/>
    </row>
    <row r="29" spans="1:6" x14ac:dyDescent="0.3">
      <c r="A29" s="1" t="str">
        <f>Inicio!$E$6</f>
        <v>2025-09</v>
      </c>
      <c r="B29" s="13"/>
      <c r="C29" s="1" t="str">
        <f>IFERROR(INDEX(Catalogos!$A$2:$A$500, MATCH(B29, Catalogos!$B$2:$B$500, 0)), "")</f>
        <v/>
      </c>
      <c r="D29" s="8"/>
      <c r="E29" s="8"/>
      <c r="F29" s="7"/>
    </row>
    <row r="30" spans="1:6" x14ac:dyDescent="0.3">
      <c r="A30" s="1" t="str">
        <f>Inicio!$E$6</f>
        <v>2025-09</v>
      </c>
      <c r="B30" s="13"/>
      <c r="C30" s="1" t="str">
        <f>IFERROR(INDEX(Catalogos!$A$2:$A$500, MATCH(B30, Catalogos!$B$2:$B$500, 0)), "")</f>
        <v/>
      </c>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25" right="0.25" top="0.75" bottom="0.75" header="0.3" footer="0.3"/>
  <pageSetup paperSize="9"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J13" sqref="J13"/>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22</v>
      </c>
      <c r="E1" s="3" t="s">
        <v>23</v>
      </c>
      <c r="F1" s="3" t="s">
        <v>21</v>
      </c>
    </row>
    <row r="2" spans="1:6" x14ac:dyDescent="0.3">
      <c r="A2" s="1" t="str">
        <f>Inicio!$E$6</f>
        <v>2025-09</v>
      </c>
      <c r="B2" s="7" t="s">
        <v>43</v>
      </c>
      <c r="C2" s="1" t="str">
        <f>IFERROR(INDEX(Catalogos!$A$2:$A$500, MATCH(B2, Catalogos!$B$2:$B$500, 0)), "")</f>
        <v>01.02.01</v>
      </c>
      <c r="D2" s="7"/>
      <c r="E2" s="8">
        <f>- 9457.2</f>
        <v>-9457.2000000000007</v>
      </c>
      <c r="F2" s="7" t="s">
        <v>77</v>
      </c>
    </row>
    <row r="3" spans="1:6" x14ac:dyDescent="0.3">
      <c r="A3" s="1" t="str">
        <f>Inicio!$E$6</f>
        <v>2025-09</v>
      </c>
      <c r="B3" s="7" t="s">
        <v>43</v>
      </c>
      <c r="C3" s="1" t="str">
        <f>IFERROR(INDEX(Catalogos!$A$2:$A$500, MATCH(B3, Catalogos!$B$2:$B$500, 0)), "")</f>
        <v>01.02.01</v>
      </c>
      <c r="D3" s="7" t="s">
        <v>74</v>
      </c>
      <c r="E3" s="8">
        <v>-149.1</v>
      </c>
      <c r="F3" s="7" t="s">
        <v>74</v>
      </c>
    </row>
    <row r="4" spans="1:6" x14ac:dyDescent="0.3">
      <c r="A4" s="1" t="str">
        <f>Inicio!$E$6</f>
        <v>2025-09</v>
      </c>
      <c r="B4" s="7" t="s">
        <v>43</v>
      </c>
      <c r="C4" s="1" t="str">
        <f>IFERROR(INDEX(Catalogos!$A$2:$A$500, MATCH(B4, Catalogos!$B$2:$B$500, 0)), "")</f>
        <v>01.02.01</v>
      </c>
      <c r="D4" s="7" t="s">
        <v>75</v>
      </c>
      <c r="E4" s="8">
        <v>-400</v>
      </c>
      <c r="F4" s="7" t="s">
        <v>76</v>
      </c>
    </row>
    <row r="5" spans="1:6" x14ac:dyDescent="0.3">
      <c r="A5" s="1" t="str">
        <f>Inicio!$E$6</f>
        <v>2025-09</v>
      </c>
      <c r="B5" s="7" t="s">
        <v>35</v>
      </c>
      <c r="C5" s="1" t="str">
        <f>IFERROR(INDEX(Catalogos!$A$2:$A$500, MATCH(B5, Catalogos!$B$2:$B$500, 0)), "")</f>
        <v>01.01.03</v>
      </c>
      <c r="D5" s="7" t="s">
        <v>79</v>
      </c>
      <c r="E5" s="8">
        <v>-1250</v>
      </c>
      <c r="F5" s="7" t="s">
        <v>78</v>
      </c>
    </row>
    <row r="6" spans="1:6" x14ac:dyDescent="0.3">
      <c r="A6" s="1" t="str">
        <f>Inicio!$E$6</f>
        <v>2025-09</v>
      </c>
      <c r="B6" s="7" t="s">
        <v>35</v>
      </c>
      <c r="C6" s="1" t="str">
        <f>IFERROR(INDEX(Catalogos!$A$2:$A$500, MATCH(B6, Catalogos!$B$2:$B$500, 0)), "")</f>
        <v>01.01.03</v>
      </c>
      <c r="D6" s="7" t="s">
        <v>79</v>
      </c>
      <c r="E6" s="8">
        <v>-1250</v>
      </c>
      <c r="F6" s="7" t="s">
        <v>78</v>
      </c>
    </row>
    <row r="7" spans="1:6" x14ac:dyDescent="0.3">
      <c r="A7" s="1" t="str">
        <f>Inicio!$E$6</f>
        <v>2025-09</v>
      </c>
      <c r="B7" s="7" t="s">
        <v>83</v>
      </c>
      <c r="C7" s="1" t="str">
        <f>IFERROR(INDEX(Catalogos!$A$2:$A$500, MATCH(B7, Catalogos!$B$2:$B$500, 0)), "")</f>
        <v/>
      </c>
      <c r="D7" s="7" t="s">
        <v>80</v>
      </c>
      <c r="E7" s="8">
        <v>-560</v>
      </c>
      <c r="F7" s="7" t="s">
        <v>81</v>
      </c>
    </row>
    <row r="8" spans="1:6" x14ac:dyDescent="0.3">
      <c r="A8" s="1" t="str">
        <f>Inicio!$E$6</f>
        <v>2025-09</v>
      </c>
      <c r="B8" s="7" t="s">
        <v>83</v>
      </c>
      <c r="C8" s="1" t="str">
        <f>IFERROR(INDEX(Catalogos!$A$2:$A$500, MATCH(B8, Catalogos!$B$2:$B$500, 0)), "")</f>
        <v/>
      </c>
      <c r="D8" s="7" t="s">
        <v>80</v>
      </c>
      <c r="E8" s="8">
        <v>-2514.1799999999998</v>
      </c>
      <c r="F8" s="7" t="s">
        <v>82</v>
      </c>
    </row>
    <row r="9" spans="1:6" x14ac:dyDescent="0.3">
      <c r="A9" s="1" t="str">
        <f>Inicio!$E$6</f>
        <v>2025-09</v>
      </c>
      <c r="B9" s="7"/>
      <c r="C9" s="1" t="str">
        <f>IFERROR(INDEX(Catalogos!$A$2:$A$500, MATCH(B9, Catalogos!$B$2:$B$500, 0)), "")</f>
        <v/>
      </c>
      <c r="D9" s="7"/>
      <c r="E9" s="8"/>
      <c r="F9" s="7"/>
    </row>
    <row r="10" spans="1:6" x14ac:dyDescent="0.3">
      <c r="A10" s="1" t="str">
        <f>Inicio!$E$6</f>
        <v>2025-09</v>
      </c>
      <c r="B10" s="7"/>
      <c r="C10" s="1" t="str">
        <f>IFERROR(INDEX(Catalogos!$A$2:$A$500, MATCH(B10, Catalogos!$B$2:$B$500, 0)), "")</f>
        <v/>
      </c>
      <c r="D10" s="7"/>
      <c r="E10" s="8"/>
      <c r="F10" s="7"/>
    </row>
    <row r="11" spans="1:6" x14ac:dyDescent="0.3">
      <c r="A11" s="1" t="str">
        <f>Inicio!$E$6</f>
        <v>2025-09</v>
      </c>
      <c r="B11" s="7"/>
      <c r="C11" s="1" t="str">
        <f>IFERROR(INDEX(Catalogos!$A$2:$A$500, MATCH(B11, Catalogos!$B$2:$B$500, 0)), "")</f>
        <v/>
      </c>
      <c r="D11" s="7"/>
      <c r="E11" s="8"/>
      <c r="F11" s="7"/>
    </row>
    <row r="12" spans="1:6" x14ac:dyDescent="0.3">
      <c r="A12" s="1" t="str">
        <f>Inicio!$E$6</f>
        <v>2025-09</v>
      </c>
      <c r="B12" s="7"/>
      <c r="C12" s="1" t="str">
        <f>IFERROR(INDEX(Catalogos!$A$2:$A$500, MATCH(B12, Catalogos!$B$2:$B$500, 0)), "")</f>
        <v/>
      </c>
      <c r="D12" s="7"/>
      <c r="E12" s="8"/>
      <c r="F12" s="7"/>
    </row>
    <row r="13" spans="1:6" x14ac:dyDescent="0.3">
      <c r="A13" s="1" t="str">
        <f>Inicio!$E$6</f>
        <v>2025-09</v>
      </c>
      <c r="B13" s="7"/>
      <c r="C13" s="1" t="str">
        <f>IFERROR(INDEX(Catalogos!$A$2:$A$500, MATCH(B13, Catalogos!$B$2:$B$500, 0)), "")</f>
        <v/>
      </c>
      <c r="D13" s="7"/>
      <c r="E13" s="8"/>
      <c r="F13" s="7"/>
    </row>
    <row r="14" spans="1:6" x14ac:dyDescent="0.3">
      <c r="A14" s="1" t="str">
        <f>Inicio!$E$6</f>
        <v>2025-09</v>
      </c>
      <c r="B14" s="7"/>
      <c r="C14" s="1" t="str">
        <f>IFERROR(INDEX(Catalogos!$A$2:$A$500, MATCH(B14, Catalogos!$B$2:$B$500, 0)), "")</f>
        <v/>
      </c>
      <c r="D14" s="7"/>
      <c r="E14" s="8"/>
      <c r="F14" s="7"/>
    </row>
    <row r="15" spans="1:6" x14ac:dyDescent="0.3">
      <c r="A15" s="1" t="str">
        <f>Inicio!$E$6</f>
        <v>2025-09</v>
      </c>
      <c r="B15" s="7"/>
      <c r="C15" s="1" t="str">
        <f>IFERROR(INDEX(Catalogos!$A$2:$A$500, MATCH(B15, Catalogos!$B$2:$B$500, 0)), "")</f>
        <v/>
      </c>
      <c r="D15" s="7"/>
      <c r="E15" s="8"/>
      <c r="F15" s="7"/>
    </row>
    <row r="16" spans="1:6" x14ac:dyDescent="0.3">
      <c r="A16" s="1" t="str">
        <f>Inicio!$E$6</f>
        <v>2025-09</v>
      </c>
      <c r="B16" s="7"/>
      <c r="C16" s="1" t="str">
        <f>IFERROR(INDEX(Catalogos!$A$2:$A$500, MATCH(B16, Catalogos!$B$2:$B$500, 0)), "")</f>
        <v/>
      </c>
      <c r="D16" s="7"/>
      <c r="E16" s="8"/>
      <c r="F16" s="7"/>
    </row>
    <row r="17" spans="1:6" x14ac:dyDescent="0.3">
      <c r="A17" s="1" t="str">
        <f>Inicio!$E$6</f>
        <v>2025-09</v>
      </c>
      <c r="B17" s="7"/>
      <c r="C17" s="1" t="str">
        <f>IFERROR(INDEX(Catalogos!$A$2:$A$500, MATCH(B17, Catalogos!$B$2:$B$500, 0)), "")</f>
        <v/>
      </c>
      <c r="D17" s="7"/>
      <c r="E17" s="8"/>
      <c r="F17" s="7"/>
    </row>
    <row r="18" spans="1:6" x14ac:dyDescent="0.3">
      <c r="A18" s="1" t="str">
        <f>Inicio!$E$6</f>
        <v>2025-09</v>
      </c>
      <c r="B18" s="7"/>
      <c r="C18" s="1" t="str">
        <f>IFERROR(INDEX(Catalogos!$A$2:$A$500, MATCH(B18, Catalogos!$B$2:$B$500, 0)), "")</f>
        <v/>
      </c>
      <c r="D18" s="7"/>
      <c r="E18" s="8"/>
      <c r="F18" s="7"/>
    </row>
    <row r="19" spans="1:6" x14ac:dyDescent="0.3">
      <c r="A19" s="1" t="str">
        <f>Inicio!$E$6</f>
        <v>2025-09</v>
      </c>
      <c r="B19" s="7"/>
      <c r="C19" s="1" t="str">
        <f>IFERROR(INDEX(Catalogos!$A$2:$A$500, MATCH(B19, Catalogos!$B$2:$B$500, 0)), "")</f>
        <v/>
      </c>
      <c r="D19" s="7"/>
      <c r="E19" s="8"/>
      <c r="F19" s="7"/>
    </row>
    <row r="20" spans="1:6" x14ac:dyDescent="0.3">
      <c r="A20" s="1" t="str">
        <f>Inicio!$E$6</f>
        <v>2025-09</v>
      </c>
      <c r="B20" s="7"/>
      <c r="C20" s="1" t="str">
        <f>IFERROR(INDEX(Catalogos!$A$2:$A$500, MATCH(B20, Catalogos!$B$2:$B$500, 0)), "")</f>
        <v/>
      </c>
      <c r="D20" s="7"/>
      <c r="E20" s="8"/>
      <c r="F20" s="7"/>
    </row>
    <row r="21" spans="1:6" x14ac:dyDescent="0.3">
      <c r="A21" s="1" t="str">
        <f>Inicio!$E$6</f>
        <v>2025-09</v>
      </c>
      <c r="B21" s="7"/>
      <c r="C21" s="1" t="str">
        <f>IFERROR(INDEX(Catalogos!$A$2:$A$500, MATCH(B21, Catalogos!$B$2:$B$500, 0)), "")</f>
        <v/>
      </c>
      <c r="D21" s="7"/>
      <c r="E21" s="8"/>
      <c r="F21" s="7"/>
    </row>
    <row r="22" spans="1:6" x14ac:dyDescent="0.3">
      <c r="A22" s="1" t="str">
        <f>Inicio!$E$6</f>
        <v>2025-09</v>
      </c>
      <c r="B22" s="7"/>
      <c r="C22" s="1" t="str">
        <f>IFERROR(INDEX(Catalogos!$A$2:$A$500, MATCH(B22, Catalogos!$B$2:$B$500, 0)), "")</f>
        <v/>
      </c>
      <c r="D22" s="7"/>
      <c r="E22" s="8"/>
      <c r="F22" s="7"/>
    </row>
    <row r="23" spans="1:6" x14ac:dyDescent="0.3">
      <c r="A23" s="1" t="str">
        <f>Inicio!$E$6</f>
        <v>2025-09</v>
      </c>
      <c r="B23" s="7"/>
      <c r="C23" s="1" t="str">
        <f>IFERROR(INDEX(Catalogos!$A$2:$A$500, MATCH(B23, Catalogos!$B$2:$B$500, 0)), "")</f>
        <v/>
      </c>
      <c r="D23" s="7"/>
      <c r="E23" s="8"/>
      <c r="F23" s="7"/>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phoneticPr fontId="4" type="noConversion"/>
  <dataValidations count="1">
    <dataValidation type="decimal" operator="greaterThanOrEqual" allowBlank="1" sqref="E2:E1000" xr:uid="{00000000-0002-0000-0300-000001000000}">
      <formula1>0</formula1>
    </dataValidation>
  </dataValidations>
  <pageMargins left="0.75" right="0.75" top="1" bottom="1" header="0.5" footer="0.5"/>
  <pageSetup paperSize="9"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fc489f-9ef9-4038-bbe1-bd0d14fd4536">
      <Terms xmlns="http://schemas.microsoft.com/office/infopath/2007/PartnerControls"/>
    </lcf76f155ced4ddcb4097134ff3c332f>
    <TaxCatchAll xmlns="b07c48ff-1e79-482a-8fbe-9aa4e8b5b9f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A060FC6617D0948B3724DB2721247D1" ma:contentTypeVersion="13" ma:contentTypeDescription="Crear nuevo documento." ma:contentTypeScope="" ma:versionID="b53dcca90a276ce98294da607f4c1a1a">
  <xsd:schema xmlns:xsd="http://www.w3.org/2001/XMLSchema" xmlns:xs="http://www.w3.org/2001/XMLSchema" xmlns:p="http://schemas.microsoft.com/office/2006/metadata/properties" xmlns:ns2="bbfc489f-9ef9-4038-bbe1-bd0d14fd4536" xmlns:ns3="b07c48ff-1e79-482a-8fbe-9aa4e8b5b9fe" targetNamespace="http://schemas.microsoft.com/office/2006/metadata/properties" ma:root="true" ma:fieldsID="baca1f5984de6ca4e74585d918dcbd4b" ns2:_="" ns3:_="">
    <xsd:import namespace="bbfc489f-9ef9-4038-bbe1-bd0d14fd4536"/>
    <xsd:import namespace="b07c48ff-1e79-482a-8fbe-9aa4e8b5b9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c489f-9ef9-4038-bbe1-bd0d14fd4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7c48ff-1e79-482a-8fbe-9aa4e8b5b9f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d0797d-eab5-42a9-8a7f-5b77272fe6b3}" ma:internalName="TaxCatchAll" ma:showField="CatchAllData" ma:web="b07c48ff-1e79-482a-8fbe-9aa4e8b5b9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E329CB-C4AB-4ECB-845B-D24CFE0D54D9}">
  <ds:schemaRefs>
    <ds:schemaRef ds:uri="http://purl.org/dc/elements/1.1/"/>
    <ds:schemaRef ds:uri="http://purl.org/dc/terms/"/>
    <ds:schemaRef ds:uri="http://schemas.microsoft.com/office/2006/documentManagement/types"/>
    <ds:schemaRef ds:uri="bbfc489f-9ef9-4038-bbe1-bd0d14fd4536"/>
    <ds:schemaRef ds:uri="http://schemas.openxmlformats.org/package/2006/metadata/core-properties"/>
    <ds:schemaRef ds:uri="http://schemas.microsoft.com/office/2006/metadata/properties"/>
    <ds:schemaRef ds:uri="http://schemas.microsoft.com/office/infopath/2007/PartnerControls"/>
    <ds:schemaRef ds:uri="b07c48ff-1e79-482a-8fbe-9aa4e8b5b9fe"/>
    <ds:schemaRef ds:uri="http://www.w3.org/XML/1998/namespace"/>
    <ds:schemaRef ds:uri="http://purl.org/dc/dcmitype/"/>
  </ds:schemaRefs>
</ds:datastoreItem>
</file>

<file path=customXml/itemProps2.xml><?xml version="1.0" encoding="utf-8"?>
<ds:datastoreItem xmlns:ds="http://schemas.openxmlformats.org/officeDocument/2006/customXml" ds:itemID="{73181B07-AC3E-40D2-86BF-EB518623B0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c489f-9ef9-4038-bbe1-bd0d14fd4536"/>
    <ds:schemaRef ds:uri="b07c48ff-1e79-482a-8fbe-9aa4e8b5b9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DBD4AA-5547-4F20-8124-0BF7C0218C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cp:lastPrinted>2025-10-20T07:49:58Z</cp:lastPrinted>
  <dcterms:created xsi:type="dcterms:W3CDTF">2025-08-23T10:46:13Z</dcterms:created>
  <dcterms:modified xsi:type="dcterms:W3CDTF">2025-10-30T16:02:06Z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0x010100FA060FC6617D0948B3724DB2721247D1</vt:lpwstr>
  </property>
  <property fmtid="{D5CDD505-2E9C-101B-9397-08002B2CF9AE}" pid="3" name="MediaServiceImageTags">
    <vt:lpwstr/>
  </property>
</Properties>
</file>